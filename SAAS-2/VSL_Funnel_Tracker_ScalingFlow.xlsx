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évrier 2026" sheetId="1" r:id="rId4"/>
    <sheet state="visible" name="Suivi par Ad" sheetId="2" r:id="rId5"/>
    <sheet state="visible" name="KPIs &amp; Diagnostic" sheetId="3" r:id="rId6"/>
    <sheet state="visible" name="Suivi Hebdomadaire" sheetId="4" r:id="rId7"/>
    <sheet state="visible" name="Dashboard Visuel" sheetId="5" r:id="rId8"/>
    <sheet state="visible" name="Récap Global" sheetId="6" r:id="rId9"/>
  </sheets>
  <definedNames/>
  <calcPr/>
  <extLst>
    <ext uri="GoogleSheetsCustomDataVersion2">
      <go:sheetsCustomData xmlns:go="http://customooxmlschemas.google.com/" r:id="rId10" roundtripDataChecksum="6QQfSb0WtrUuCdjfA1yhGywUxqBzbvSPJMqib2aPYW8="/>
    </ext>
  </extLst>
</workbook>
</file>

<file path=xl/sharedStrings.xml><?xml version="1.0" encoding="utf-8"?>
<sst xmlns="http://schemas.openxmlformats.org/spreadsheetml/2006/main" count="231" uniqueCount="159">
  <si>
    <t>📊 VSL FUNNEL — FÉVRIER 2026</t>
  </si>
  <si>
    <t>📢 DÉPENSES &amp; REACH</t>
  </si>
  <si>
    <t>💰 COÛTS UNIT.</t>
  </si>
  <si>
    <t>🖥️ LANDING PAGE</t>
  </si>
  <si>
    <t>👤 LEADS</t>
  </si>
  <si>
    <t>📞 BOOKINGS &amp; APPELS</t>
  </si>
  <si>
    <t>💸 COÛT/APPEL</t>
  </si>
  <si>
    <t>🏆 VENTES &amp; CA</t>
  </si>
  <si>
    <t>📈 ROI</t>
  </si>
  <si>
    <t>📝</t>
  </si>
  <si>
    <t>Date</t>
  </si>
  <si>
    <t>Dépenses (€)</t>
  </si>
  <si>
    <t>Impressions</t>
  </si>
  <si>
    <t>CPM (€)</t>
  </si>
  <si>
    <t>Clics</t>
  </si>
  <si>
    <t>CTR (%)</t>
  </si>
  <si>
    <t>CPC (€)</t>
  </si>
  <si>
    <t>Coût/Vue LP (€)</t>
  </si>
  <si>
    <t>Vues LP</t>
  </si>
  <si>
    <t>Taux Clic→LP (%)</t>
  </si>
  <si>
    <t>Leads (Formulaire)</t>
  </si>
  <si>
    <t>CPL (€)</t>
  </si>
  <si>
    <t>Taux LP→Lead (%)</t>
  </si>
  <si>
    <t>Leads Qualifiés</t>
  </si>
  <si>
    <t>Bookings VSL (auto)</t>
  </si>
  <si>
    <t>Taux Lead→Book (%)</t>
  </si>
  <si>
    <t>Leads Non-Bookés</t>
  </si>
  <si>
    <t>Appels Manuels</t>
  </si>
  <si>
    <t>Taux Relance (%)</t>
  </si>
  <si>
    <t>Total Appels</t>
  </si>
  <si>
    <t>Taux Lead→Appel (%)</t>
  </si>
  <si>
    <t>Coût/Book VSL (€)</t>
  </si>
  <si>
    <t>Coût/Appel Manuel (€)</t>
  </si>
  <si>
    <t>Coût/Appel Total (€)</t>
  </si>
  <si>
    <t>Nb Ventes</t>
  </si>
  <si>
    <t>Taux Close (%)</t>
  </si>
  <si>
    <t>CA Vendu (€)</t>
  </si>
  <si>
    <t>Cash Encaissé (€)</t>
  </si>
  <si>
    <t>CPA (€)</t>
  </si>
  <si>
    <t>P/L (€)</t>
  </si>
  <si>
    <t>ROI Vendu (%)</t>
  </si>
  <si>
    <t>ROI Cash (%)</t>
  </si>
  <si>
    <t>Notes / Actions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</si>
  <si>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</si>
  <si>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</si>
  <si>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</si>
  <si>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</si>
  <si>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</si>
  <si>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</si>
  <si>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</si>
  <si>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</si>
  <si>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</si>
  <si>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</si>
  <si>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</si>
  <si>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</si>
  <si>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</si>
  <si>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</si>
  <si>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</si>
  <si>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</si>
  <si>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</si>
  <si>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</si>
  <si>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</si>
  <si>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</si>
  <si>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</si>
  <si>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</si>
  <si>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</si>
  <si>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</si>
  <si>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</si>
  <si>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</si>
  <si>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</si>
  <si>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</si>
  <si>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TOTAL / MOY.</t>
  </si>
  <si>
    <t>📢 SUIVI PAR AD — PERFORMANCE INDIVIDUELLE</t>
  </si>
  <si>
    <t>Nom de l'Ad</t>
  </si>
  <si>
    <t>Créa / Angle</t>
  </si>
  <si>
    <t>Date Lancement</t>
  </si>
  <si>
    <t>Statut</t>
  </si>
  <si>
    <t>Leads</t>
  </si>
  <si>
    <t>Bookings VSL</t>
  </si>
  <si>
    <t>Coût/Appel (€)</t>
  </si>
  <si>
    <t>Ventes</t>
  </si>
  <si>
    <t>CA (€)</t>
  </si>
  <si>
    <t>ROI (%)</t>
  </si>
  <si>
    <t>Score (/10)</t>
  </si>
  <si>
    <t>Notes</t>
  </si>
  <si>
    <t>🎯 KPIs &amp; DIAGNOSTIC FUNNEL VSL</t>
  </si>
  <si>
    <t>🔍 ÉTAPE DU FUNNEL</t>
  </si>
  <si>
    <t>Volume</t>
  </si>
  <si>
    <t>Taux Conv.</t>
  </si>
  <si>
    <t>Coût Unitaire (€)</t>
  </si>
  <si>
    <t>Benchmark</t>
  </si>
  <si>
    <t>Action Prioritaire</t>
  </si>
  <si>
    <t>&gt;10k/sem</t>
  </si>
  <si>
    <t>CTR &gt;1%</t>
  </si>
  <si>
    <t>Vues Landing Page</t>
  </si>
  <si>
    <t>&gt;80% clics</t>
  </si>
  <si>
    <t>Opt-in &gt;20%</t>
  </si>
  <si>
    <t>&gt;30% leads</t>
  </si>
  <si>
    <t>&gt;50% leads</t>
  </si>
  <si>
    <t>Close &gt;20%</t>
  </si>
  <si>
    <t>⚠️ DIAGNOSTIC : GAP LEADS → BOOKINGS (Ton problème principal)</t>
  </si>
  <si>
    <t>Métrique</t>
  </si>
  <si>
    <t>Valeur</t>
  </si>
  <si>
    <t>Objectif</t>
  </si>
  <si>
    <t>Écart</t>
  </si>
  <si>
    <t>Impact</t>
  </si>
  <si>
    <t>Total Leads</t>
  </si>
  <si>
    <t>Bookings Auto (VSL)</t>
  </si>
  <si>
    <t>Leads perdus sans relance</t>
  </si>
  <si>
    <t>Relances Manuelles</t>
  </si>
  <si>
    <t>Taux Booking Auto</t>
  </si>
  <si>
    <t>&gt;30%</t>
  </si>
  <si>
    <t>Si &lt;15% → VSL ou CTA à revoir</t>
  </si>
  <si>
    <t>Taux Relance Réussie</t>
  </si>
  <si>
    <t>&gt;60%</t>
  </si>
  <si>
    <t>Efficacité de tes appels</t>
  </si>
  <si>
    <t>Taux Total Lead→Appel</t>
  </si>
  <si>
    <t>&gt;50%</t>
  </si>
  <si>
    <t>KPI clé à maximiser</t>
  </si>
  <si>
    <t>💶 RÉSUMÉ FINANCIER DU MOIS</t>
  </si>
  <si>
    <t>Total Dépensé</t>
  </si>
  <si>
    <t>CA Vendu</t>
  </si>
  <si>
    <t>Cash Encaissé</t>
  </si>
  <si>
    <t>P/L</t>
  </si>
  <si>
    <t>ROI sur Ventes</t>
  </si>
  <si>
    <t>ROI sur Cash</t>
  </si>
  <si>
    <t>CPA Moyen</t>
  </si>
  <si>
    <t>📅 SUIVI HEBDOMADAIRE — TENDANCES</t>
  </si>
  <si>
    <t>Semaine</t>
  </si>
  <si>
    <t>Dates</t>
  </si>
  <si>
    <t>Taux Book (%)</t>
  </si>
  <si>
    <t>Cash (€)</t>
  </si>
  <si>
    <t>Notes Semaine</t>
  </si>
  <si>
    <t>S1</t>
  </si>
  <si>
    <t>S2</t>
  </si>
  <si>
    <t>S3</t>
  </si>
  <si>
    <t>S4</t>
  </si>
  <si>
    <t>S5</t>
  </si>
  <si>
    <t>S6</t>
  </si>
  <si>
    <t>S7</t>
  </si>
  <si>
    <t>S8</t>
  </si>
  <si>
    <t>📊 DASHBOARD VISUEL — VSL FUNNEL SCALINGFLOW</t>
  </si>
  <si>
    <t>Jour</t>
  </si>
  <si>
    <t>Dépenses</t>
  </si>
  <si>
    <t>CPM</t>
  </si>
  <si>
    <t>CPC</t>
  </si>
  <si>
    <t>CTR</t>
  </si>
  <si>
    <t>CPL</t>
  </si>
  <si>
    <t>Coût/Book VSL</t>
  </si>
  <si>
    <t>Coût/Appel Manuel</t>
  </si>
  <si>
    <t>Coût/Appel Total</t>
  </si>
  <si>
    <t>Taux Close</t>
  </si>
  <si>
    <t>CA</t>
  </si>
  <si>
    <t>ROI Cash</t>
  </si>
  <si>
    <t>📊 RÉCAP GLOBAL — TOUS LES MOIS</t>
  </si>
  <si>
    <t>Mois</t>
  </si>
  <si>
    <t>Janvier 2026 (26-31)</t>
  </si>
  <si>
    <t>Février 2026</t>
  </si>
  <si>
    <t>TOTAL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</si>
</sst>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1.0"/>
      <color theme="1"/>
      <name val="Calibri"/>
      <scheme val="minor"/>
    </font>
    <font>
      <b/>
      <sz val="14.0"/>
      <color rgb="FF4FC3F7"/>
      <name val="Arial"/>
    </font>
    <font/>
    <font>
      <b/>
      <sz val="11.0"/>
      <color rgb="FF4FC3F7"/>
      <name val="Arial"/>
    </font>
    <font>
      <b/>
      <sz val="11.0"/>
      <color rgb="FFFFFFFF"/>
      <name val="Arial"/>
    </font>
    <font>
      <sz val="10.0"/>
      <color rgb="FFFFFFFF"/>
      <name val="Arial"/>
    </font>
    <font>
      <sz val="10.0"/>
      <color rgb="FF4FC3F7"/>
      <name val="Arial"/>
    </font>
    <font>
      <sz val="10.0"/>
      <color rgb="FFFFA726"/>
      <name val="Arial"/>
    </font>
    <font>
      <sz val="10.0"/>
      <color rgb="FF66BB6A"/>
      <name val="Arial"/>
    </font>
    <font>
      <b/>
      <sz val="11.0"/>
      <color rgb="FFFFEE58"/>
      <name val="Arial"/>
    </font>
    <font>
      <sz val="11.0"/>
      <color theme="1"/>
      <name val="Calibri"/>
    </font>
    <font>
      <b/>
      <sz val="12.0"/>
      <color rgb="FFEF5350"/>
      <name val="Arial"/>
    </font>
    <font>
      <sz val="9.0"/>
      <color rgb="FFB0BEC5"/>
      <name val="Arial"/>
    </font>
    <font>
      <b/>
      <sz val="12.0"/>
      <color rgb="FF66BB6A"/>
      <name val="Arial"/>
    </font>
    <font>
      <b/>
      <sz val="10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16213E"/>
        <bgColor rgb="FF16213E"/>
      </patternFill>
    </fill>
    <fill>
      <patternFill patternType="solid">
        <fgColor rgb="FF0D1B2A"/>
        <bgColor rgb="FF0D1B2A"/>
      </patternFill>
    </fill>
    <fill>
      <patternFill patternType="solid">
        <fgColor rgb="FF1B2838"/>
        <bgColor rgb="FF1B2838"/>
      </patternFill>
    </fill>
    <fill>
      <patternFill patternType="solid">
        <fgColor rgb="FF263238"/>
        <bgColor rgb="FF263238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37474F"/>
      </left>
      <right style="thin">
        <color rgb="FF37474F"/>
      </right>
      <top style="thin">
        <color rgb="FF37474F"/>
      </top>
      <bottom style="thin">
        <color rgb="FF37474F"/>
      </bottom>
    </border>
    <border>
      <left style="thin">
        <color rgb="FF37474F"/>
      </left>
      <top style="thin">
        <color rgb="FF37474F"/>
      </top>
      <bottom style="thin">
        <color rgb="FF37474F"/>
      </bottom>
    </border>
    <border>
      <top style="thin">
        <color rgb="FF37474F"/>
      </top>
      <bottom style="thin">
        <color rgb="FF37474F"/>
      </bottom>
    </border>
    <border>
      <right style="thin">
        <color rgb="FF37474F"/>
      </right>
      <top style="thin">
        <color rgb="FF37474F"/>
      </top>
      <bottom style="thin">
        <color rgb="FF37474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6" numFmtId="4" xfId="0" applyAlignment="1" applyBorder="1" applyFont="1" applyNumberFormat="1">
      <alignment horizontal="center" shrinkToFit="0" vertical="center" wrapText="1"/>
    </xf>
    <xf borderId="4" fillId="5" fontId="6" numFmtId="3" xfId="0" applyAlignment="1" applyBorder="1" applyFont="1" applyNumberFormat="1">
      <alignment horizontal="center" shrinkToFit="0" vertical="center" wrapText="1"/>
    </xf>
    <xf borderId="4" fillId="5" fontId="5" numFmtId="4" xfId="0" applyAlignment="1" applyBorder="1" applyFont="1" applyNumberFormat="1">
      <alignment horizontal="center" shrinkToFit="0" vertical="center" wrapText="1"/>
    </xf>
    <xf borderId="4" fillId="5" fontId="5" numFmtId="164" xfId="0" applyAlignment="1" applyBorder="1" applyFont="1" applyNumberFormat="1">
      <alignment horizontal="center" shrinkToFit="0" vertical="center" wrapText="1"/>
    </xf>
    <xf borderId="4" fillId="5" fontId="5" numFmtId="3" xfId="0" applyAlignment="1" applyBorder="1" applyFont="1" applyNumberFormat="1">
      <alignment horizontal="center" shrinkToFit="0" vertical="center" wrapText="1"/>
    </xf>
    <xf borderId="4" fillId="5" fontId="7" numFmtId="4" xfId="0" applyAlignment="1" applyBorder="1" applyFont="1" applyNumberFormat="1">
      <alignment horizontal="center" shrinkToFit="0" vertical="center" wrapText="1"/>
    </xf>
    <xf borderId="4" fillId="5" fontId="8" numFmtId="164" xfId="0" applyAlignment="1" applyBorder="1" applyFont="1" applyNumberForma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0"/>
    </xf>
    <xf borderId="4" fillId="6" fontId="5" numFmtId="0" xfId="0" applyAlignment="1" applyBorder="1" applyFill="1" applyFont="1">
      <alignment horizontal="center" shrinkToFit="0" vertical="center" wrapText="1"/>
    </xf>
    <xf borderId="4" fillId="6" fontId="6" numFmtId="4" xfId="0" applyAlignment="1" applyBorder="1" applyFont="1" applyNumberFormat="1">
      <alignment horizontal="center" shrinkToFit="0" vertical="center" wrapText="1"/>
    </xf>
    <xf borderId="4" fillId="6" fontId="6" numFmtId="3" xfId="0" applyAlignment="1" applyBorder="1" applyFont="1" applyNumberFormat="1">
      <alignment horizontal="center" shrinkToFit="0" vertical="center" wrapText="1"/>
    </xf>
    <xf borderId="4" fillId="6" fontId="5" numFmtId="4" xfId="0" applyAlignment="1" applyBorder="1" applyFont="1" applyNumberFormat="1">
      <alignment horizontal="center" shrinkToFit="0" vertical="center" wrapText="1"/>
    </xf>
    <xf borderId="4" fillId="6" fontId="5" numFmtId="164" xfId="0" applyAlignment="1" applyBorder="1" applyFont="1" applyNumberFormat="1">
      <alignment horizontal="center" shrinkToFit="0" vertical="center" wrapText="1"/>
    </xf>
    <xf borderId="4" fillId="6" fontId="5" numFmtId="3" xfId="0" applyAlignment="1" applyBorder="1" applyFont="1" applyNumberFormat="1">
      <alignment horizontal="center" shrinkToFit="0" vertical="center" wrapText="1"/>
    </xf>
    <xf borderId="4" fillId="6" fontId="7" numFmtId="4" xfId="0" applyAlignment="1" applyBorder="1" applyFont="1" applyNumberFormat="1">
      <alignment horizontal="center" shrinkToFit="0" vertical="center" wrapText="1"/>
    </xf>
    <xf borderId="4" fillId="6" fontId="8" numFmtId="164" xfId="0" applyAlignment="1" applyBorder="1" applyFont="1" applyNumberForma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0"/>
    </xf>
    <xf borderId="4" fillId="7" fontId="9" numFmtId="0" xfId="0" applyAlignment="1" applyBorder="1" applyFill="1" applyFont="1">
      <alignment horizontal="center" shrinkToFit="0" vertical="center" wrapText="1"/>
    </xf>
    <xf borderId="4" fillId="7" fontId="9" numFmtId="4" xfId="0" applyAlignment="1" applyBorder="1" applyFont="1" applyNumberFormat="1">
      <alignment horizontal="center" shrinkToFit="0" vertical="center" wrapText="1"/>
    </xf>
    <xf borderId="4" fillId="7" fontId="9" numFmtId="3" xfId="0" applyAlignment="1" applyBorder="1" applyFont="1" applyNumberFormat="1">
      <alignment horizontal="center" shrinkToFit="0" vertical="center" wrapText="1"/>
    </xf>
    <xf borderId="4" fillId="7" fontId="9" numFmtId="164" xfId="0" applyAlignment="1" applyBorder="1" applyFont="1" applyNumberFormat="1">
      <alignment horizontal="center" shrinkToFit="0" vertical="center" wrapText="1"/>
    </xf>
    <xf borderId="8" fillId="7" fontId="10" numFmtId="0" xfId="0" applyAlignment="1" applyBorder="1" applyFont="1">
      <alignment shrinkToFit="0" vertical="bottom" wrapText="0"/>
    </xf>
    <xf borderId="4" fillId="6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1" fillId="3" fontId="11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0"/>
    </xf>
    <xf borderId="4" fillId="6" fontId="7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left" shrinkToFit="0" vertical="center" wrapText="0"/>
    </xf>
    <xf borderId="8" fillId="6" fontId="10" numFmtId="0" xfId="0" applyAlignment="1" applyBorder="1" applyFont="1">
      <alignment shrinkToFit="0" vertical="bottom" wrapText="0"/>
    </xf>
    <xf borderId="4" fillId="5" fontId="5" numFmtId="0" xfId="0" applyAlignment="1" applyBorder="1" applyFont="1">
      <alignment horizontal="left" shrinkToFit="0" vertical="center" wrapText="0"/>
    </xf>
    <xf borderId="4" fillId="5" fontId="7" numFmtId="0" xfId="0" applyAlignment="1" applyBorder="1" applyFont="1">
      <alignment horizontal="center" shrinkToFit="0" vertical="center" wrapText="1"/>
    </xf>
    <xf borderId="4" fillId="5" fontId="12" numFmtId="0" xfId="0" applyAlignment="1" applyBorder="1" applyFont="1">
      <alignment horizontal="left" shrinkToFit="0" vertical="center" wrapText="0"/>
    </xf>
    <xf borderId="8" fillId="5" fontId="10" numFmtId="0" xfId="0" applyAlignment="1" applyBorder="1" applyFont="1">
      <alignment shrinkToFit="0" vertical="bottom" wrapText="0"/>
    </xf>
    <xf borderId="1" fillId="3" fontId="13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left" shrinkToFit="0" vertical="center" wrapText="0"/>
    </xf>
    <xf borderId="4" fillId="6" fontId="9" numFmtId="4" xfId="0" applyAlignment="1" applyBorder="1" applyFont="1" applyNumberFormat="1">
      <alignment horizontal="center" shrinkToFit="0" vertical="center" wrapText="1"/>
    </xf>
    <xf borderId="4" fillId="5" fontId="14" numFmtId="0" xfId="0" applyAlignment="1" applyBorder="1" applyFont="1">
      <alignment horizontal="left" shrinkToFit="0" vertical="center" wrapText="0"/>
    </xf>
    <xf borderId="4" fillId="5" fontId="9" numFmtId="4" xfId="0" applyAlignment="1" applyBorder="1" applyFont="1" applyNumberFormat="1">
      <alignment horizontal="center" shrinkToFit="0" vertical="center" wrapText="1"/>
    </xf>
    <xf borderId="4" fillId="6" fontId="9" numFmtId="164" xfId="0" applyAlignment="1" applyBorder="1" applyFont="1" applyNumberFormat="1">
      <alignment horizontal="center" shrinkToFit="0" vertical="center" wrapText="1"/>
    </xf>
    <xf borderId="4" fillId="5" fontId="9" numFmtId="164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0"/>
    </xf>
    <xf borderId="4" fillId="6" fontId="5" numFmtId="0" xfId="0" applyAlignment="1" applyBorder="1" applyFont="1">
      <alignment horizontal="center" shrinkToFit="0" vertical="center" wrapText="0"/>
    </xf>
    <xf borderId="4" fillId="6" fontId="5" numFmtId="4" xfId="0" applyAlignment="1" applyBorder="1" applyFont="1" applyNumberFormat="1">
      <alignment horizontal="center" shrinkToFit="0" vertical="center" wrapText="0"/>
    </xf>
    <xf borderId="4" fillId="6" fontId="5" numFmtId="164" xfId="0" applyAlignment="1" applyBorder="1" applyFont="1" applyNumberFormat="1">
      <alignment horizontal="center" shrinkToFit="0" vertical="center" wrapText="0"/>
    </xf>
    <xf borderId="4" fillId="6" fontId="5" numFmtId="3" xfId="0" applyAlignment="1" applyBorder="1" applyFont="1" applyNumberForma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5" fontId="5" numFmtId="4" xfId="0" applyAlignment="1" applyBorder="1" applyFont="1" applyNumberFormat="1">
      <alignment horizontal="center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0"/>
    </xf>
    <xf borderId="4" fillId="5" fontId="5" numFmtId="3" xfId="0" applyAlignment="1" applyBorder="1" applyFont="1" applyNumberFormat="1">
      <alignment horizontal="center" shrinkToFit="0" vertical="center" wrapText="0"/>
    </xf>
    <xf borderId="4" fillId="6" fontId="6" numFmtId="164" xfId="0" applyAlignment="1" applyBorder="1" applyFont="1" applyNumberFormat="1">
      <alignment horizontal="center" shrinkToFit="0" vertical="center" wrapText="1"/>
    </xf>
    <xf borderId="4" fillId="5" fontId="6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💰 Dépenses vs CA vs P/L par Jour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Dépenses</c:v>
          </c:tx>
          <c:spPr>
            <a:solidFill>
              <a:srgbClr val="EF5350"/>
            </a:solidFill>
            <a:ln cmpd="sng">
              <a:solidFill>
                <a:srgbClr val="000000"/>
              </a:solidFill>
            </a:ln>
          </c:spPr>
          <c:cat>
            <c:strRef>
              <c:f>'Dashboard Visuel'!$A$3:$A$33</c:f>
            </c:strRef>
          </c:cat>
          <c:val>
            <c:numRef>
              <c:f>'Dashboard Visuel'!$B$3:$B$33</c:f>
              <c:numCache/>
            </c:numRef>
          </c:val>
        </c:ser>
        <c:axId val="2051793712"/>
        <c:axId val="986048656"/>
      </c:barChart>
      <c:catAx>
        <c:axId val="2051793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Jour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86048656"/>
      </c:catAx>
      <c:valAx>
        <c:axId val="986048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179371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📊 Volumes Funnel par Jour (Vues LP → Leads → Appels → Ventes)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Visuel'!$G$2</c:f>
            </c:strRef>
          </c:tx>
          <c:cat>
            <c:strRef>
              <c:f>'Dashboard Visuel'!$F$3:$F$33</c:f>
            </c:strRef>
          </c:cat>
          <c:val>
            <c:numRef>
              <c:f>'Dashboard Visuel'!$G$3:$G$33</c:f>
              <c:numCache/>
            </c:numRef>
          </c:val>
        </c:ser>
        <c:ser>
          <c:idx val="1"/>
          <c:order val="1"/>
          <c:tx>
            <c:strRef>
              <c:f>'Dashboard Visuel'!$I$2</c:f>
            </c:strRef>
          </c:tx>
          <c:cat>
            <c:strRef>
              <c:f>'Dashboard Visuel'!$F$3:$F$33</c:f>
            </c:strRef>
          </c:cat>
          <c:val>
            <c:numRef>
              <c:f>'Dashboard Visuel'!$I$3:$I$33</c:f>
              <c:numCache/>
            </c:numRef>
          </c:val>
        </c:ser>
        <c:ser>
          <c:idx val="2"/>
          <c:order val="2"/>
          <c:tx>
            <c:strRef>
              <c:f>'Dashboard Visuel'!$J$2</c:f>
            </c:strRef>
          </c:tx>
          <c:cat>
            <c:strRef>
              <c:f>'Dashboard Visuel'!$F$3:$F$33</c:f>
            </c:strRef>
          </c:cat>
          <c:val>
            <c:numRef>
              <c:f>'Dashboard Visuel'!$J$3:$J$33</c:f>
              <c:numCache/>
            </c:numRef>
          </c:val>
        </c:ser>
        <c:ser>
          <c:idx val="3"/>
          <c:order val="3"/>
          <c:tx>
            <c:strRef>
              <c:f>'Dashboard Visuel'!$O$2</c:f>
            </c:strRef>
          </c:tx>
          <c:cat>
            <c:strRef>
              <c:f>'Dashboard Visuel'!$F$3:$F$33</c:f>
            </c:strRef>
          </c:cat>
          <c:val>
            <c:numRef>
              <c:f>'Dashboard Visuel'!$O$3:$O$33</c:f>
              <c:numCache/>
            </c:numRef>
          </c:val>
        </c:ser>
        <c:axId val="1454357541"/>
        <c:axId val="1254528346"/>
      </c:barChart>
      <c:catAx>
        <c:axId val="1454357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Jour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54528346"/>
      </c:catAx>
      <c:valAx>
        <c:axId val="125452834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5435754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⚠️ Bookings Auto vs Appels Manuels (Diagnostic Gap)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'Dashboard Visuel'!$J$2</c:f>
            </c:strRef>
          </c:tx>
          <c:cat>
            <c:strRef>
              <c:f>'Dashboard Visuel'!$I$3:$I$33</c:f>
            </c:strRef>
          </c:cat>
          <c:val>
            <c:numRef>
              <c:f>'Dashboard Visuel'!$J$3:$J$33</c:f>
              <c:numCache/>
            </c:numRef>
          </c:val>
        </c:ser>
        <c:overlap val="100"/>
        <c:axId val="390103243"/>
        <c:axId val="805437279"/>
      </c:barChart>
      <c:catAx>
        <c:axId val="390103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Jour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05437279"/>
      </c:catAx>
      <c:valAx>
        <c:axId val="80543727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9010324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💸 Évolution des Coûts Unitaires (€)</a:t>
            </a:r>
          </a:p>
        </c:rich>
      </c:tx>
      <c:overlay val="0"/>
    </c:title>
    <c:plotArea>
      <c:layout/>
      <c:lineChart>
        <c:axId val="1015709851"/>
        <c:axId val="1310511335"/>
      </c:lineChart>
      <c:catAx>
        <c:axId val="1015709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Jour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0511335"/>
      </c:catAx>
      <c:valAx>
        <c:axId val="131051133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1570985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📈 Taux de Conversion Clés (CTR &amp; Taux Close)</a:t>
            </a:r>
          </a:p>
        </c:rich>
      </c:tx>
      <c:overlay val="0"/>
    </c:title>
    <c:plotArea>
      <c:layout/>
      <c:lineChart>
        <c:varyColors val="0"/>
        <c:axId val="978172891"/>
        <c:axId val="640210089"/>
      </c:lineChart>
      <c:catAx>
        <c:axId val="978172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Jour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0210089"/>
      </c:catAx>
      <c:valAx>
        <c:axId val="64021008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7817289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🔍 Comparatif Coûts par Type d'Appel (€)</a:t>
            </a:r>
          </a:p>
        </c:rich>
      </c:tx>
      <c:overlay val="0"/>
    </c:title>
    <c:plotArea>
      <c:layout/>
      <c:lineChart>
        <c:axId val="277357616"/>
        <c:axId val="1589562495"/>
      </c:lineChart>
      <c:catAx>
        <c:axId val="27735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Jour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89562495"/>
      </c:catAx>
      <c:valAx>
        <c:axId val="158956249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7735761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🏆 ROI Cash par Jour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Visuel'!$S$2</c:f>
            </c:strRef>
          </c:tx>
          <c:cat>
            <c:strRef>
              <c:f>'Dashboard Visuel'!$S$3:$S$33</c:f>
            </c:strRef>
          </c:cat>
          <c:val>
            <c:numRef>
              <c:f>'Dashboard Visuel'!$S$3:$S$33</c:f>
              <c:numCache/>
            </c:numRef>
          </c:val>
        </c:ser>
        <c:axId val="416181215"/>
        <c:axId val="13137581"/>
      </c:barChart>
      <c:catAx>
        <c:axId val="416181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Jour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37581"/>
      </c:catAx>
      <c:valAx>
        <c:axId val="1313758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1618121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152400</xdr:rowOff>
    </xdr:from>
    <xdr:ext cx="11953875" cy="6800850"/>
    <xdr:graphicFrame>
      <xdr:nvGraphicFramePr>
        <xdr:cNvPr id="133364789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51</xdr:row>
      <xdr:rowOff>152400</xdr:rowOff>
    </xdr:from>
    <xdr:ext cx="11953875" cy="6800850"/>
    <xdr:graphicFrame>
      <xdr:nvGraphicFramePr>
        <xdr:cNvPr id="171434579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152400</xdr:rowOff>
    </xdr:from>
    <xdr:ext cx="11953875" cy="6800850"/>
    <xdr:graphicFrame>
      <xdr:nvGraphicFramePr>
        <xdr:cNvPr id="66603977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87</xdr:row>
      <xdr:rowOff>152400</xdr:rowOff>
    </xdr:from>
    <xdr:ext cx="11953875" cy="6800850"/>
    <xdr:graphicFrame>
      <xdr:nvGraphicFramePr>
        <xdr:cNvPr id="167032402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105</xdr:row>
      <xdr:rowOff>152400</xdr:rowOff>
    </xdr:from>
    <xdr:ext cx="11953875" cy="6800850"/>
    <xdr:graphicFrame>
      <xdr:nvGraphicFramePr>
        <xdr:cNvPr id="111803009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123</xdr:row>
      <xdr:rowOff>152400</xdr:rowOff>
    </xdr:from>
    <xdr:ext cx="11953875" cy="6800850"/>
    <xdr:graphicFrame>
      <xdr:nvGraphicFramePr>
        <xdr:cNvPr id="88748373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141</xdr:row>
      <xdr:rowOff>152400</xdr:rowOff>
    </xdr:from>
    <xdr:ext cx="11953875" cy="6800850"/>
    <xdr:graphicFrame>
      <xdr:nvGraphicFramePr>
        <xdr:cNvPr id="22519443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B47BC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2" width="14.0"/>
    <col customWidth="1" min="3" max="3" width="13.0"/>
    <col customWidth="1" min="4" max="7" width="10.0"/>
    <col customWidth="1" min="8" max="8" width="15.0"/>
    <col customWidth="1" min="9" max="9" width="10.0"/>
    <col customWidth="1" min="10" max="11" width="16.0"/>
    <col customWidth="1" min="12" max="12" width="10.0"/>
    <col customWidth="1" min="13" max="13" width="16.0"/>
    <col customWidth="1" min="14" max="14" width="14.0"/>
    <col customWidth="1" min="15" max="16" width="17.0"/>
    <col customWidth="1" min="17" max="17" width="16.0"/>
    <col customWidth="1" min="18" max="18" width="14.0"/>
    <col customWidth="1" min="19" max="19" width="15.0"/>
    <col customWidth="1" min="20" max="20" width="13.0"/>
    <col customWidth="1" min="21" max="21" width="17.0"/>
    <col customWidth="1" min="22" max="22" width="16.0"/>
    <col customWidth="1" min="23" max="24" width="18.0"/>
    <col customWidth="1" min="25" max="25" width="11.0"/>
    <col customWidth="1" min="26" max="26" width="14.0"/>
    <col customWidth="1" min="27" max="27" width="13.0"/>
    <col customWidth="1" min="28" max="28" width="16.0"/>
    <col customWidth="1" min="29" max="30" width="10.0"/>
    <col customWidth="1" min="31" max="31" width="13.0"/>
    <col customWidth="1" min="32" max="32" width="12.0"/>
    <col customWidth="1" min="33" max="33" width="2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15.0" customHeight="1">
      <c r="A2" s="4"/>
      <c r="B2" s="5" t="s">
        <v>1</v>
      </c>
      <c r="C2" s="6"/>
      <c r="D2" s="6"/>
      <c r="E2" s="6"/>
      <c r="F2" s="7"/>
      <c r="G2" s="5" t="s">
        <v>2</v>
      </c>
      <c r="H2" s="7"/>
      <c r="I2" s="5" t="s">
        <v>3</v>
      </c>
      <c r="J2" s="6"/>
      <c r="K2" s="7"/>
      <c r="L2" s="5" t="s">
        <v>4</v>
      </c>
      <c r="M2" s="6"/>
      <c r="N2" s="7"/>
      <c r="O2" s="5" t="s">
        <v>5</v>
      </c>
      <c r="P2" s="6"/>
      <c r="Q2" s="6"/>
      <c r="R2" s="6"/>
      <c r="S2" s="6"/>
      <c r="T2" s="6"/>
      <c r="U2" s="7"/>
      <c r="V2" s="5" t="s">
        <v>6</v>
      </c>
      <c r="W2" s="6"/>
      <c r="X2" s="7"/>
      <c r="Y2" s="5" t="s">
        <v>7</v>
      </c>
      <c r="Z2" s="6"/>
      <c r="AA2" s="6"/>
      <c r="AB2" s="6"/>
      <c r="AC2" s="6"/>
      <c r="AD2" s="7"/>
      <c r="AE2" s="5" t="s">
        <v>8</v>
      </c>
      <c r="AF2" s="7"/>
      <c r="AG2" s="4" t="s">
        <v>9</v>
      </c>
    </row>
    <row r="3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8" t="s">
        <v>22</v>
      </c>
      <c r="N3" s="8" t="s">
        <v>23</v>
      </c>
      <c r="O3" s="8" t="s">
        <v>24</v>
      </c>
      <c r="P3" s="8" t="s">
        <v>25</v>
      </c>
      <c r="Q3" s="8" t="s">
        <v>26</v>
      </c>
      <c r="R3" s="8" t="s">
        <v>27</v>
      </c>
      <c r="S3" s="8" t="s">
        <v>28</v>
      </c>
      <c r="T3" s="8" t="s">
        <v>29</v>
      </c>
      <c r="U3" s="8" t="s">
        <v>30</v>
      </c>
      <c r="V3" s="8" t="s">
        <v>31</v>
      </c>
      <c r="W3" s="8" t="s">
        <v>32</v>
      </c>
      <c r="X3" s="8" t="s">
        <v>33</v>
      </c>
      <c r="Y3" s="8" t="s">
        <v>34</v>
      </c>
      <c r="Z3" s="8" t="s">
        <v>35</v>
      </c>
      <c r="AA3" s="8" t="s">
        <v>36</v>
      </c>
      <c r="AB3" s="8" t="s">
        <v>37</v>
      </c>
      <c r="AC3" s="8" t="s">
        <v>38</v>
      </c>
      <c r="AD3" s="8" t="s">
        <v>39</v>
      </c>
      <c r="AE3" s="8" t="s">
        <v>40</v>
      </c>
      <c r="AF3" s="8" t="s">
        <v>41</v>
      </c>
      <c r="AG3" s="8" t="s">
        <v>42</v>
      </c>
    </row>
    <row r="4">
      <c r="A4" s="9" t="s">
        <v>43</v>
      </c>
      <c r="B4" s="10"/>
      <c r="C4" s="11"/>
      <c r="D4" s="12" t="str">
        <f t="shared" ref="D4:D32" si="1">IF(C4=0,"-",B4/C4*1000)</f>
        <v>-</v>
      </c>
      <c r="E4" s="11"/>
      <c r="F4" s="13" t="str">
        <f t="shared" ref="F4:F32" si="2">IF(C4=0,"-",E4/C4)</f>
        <v>-</v>
      </c>
      <c r="G4" s="12" t="str">
        <f t="shared" ref="G4:G32" si="3">IF(E4=0,"-",B4/E4)</f>
        <v>-</v>
      </c>
      <c r="H4" s="12" t="str">
        <f t="shared" ref="H4:H32" si="4">IF(I4=0,"-",B4/I4)</f>
        <v>-</v>
      </c>
      <c r="I4" s="11"/>
      <c r="J4" s="13" t="str">
        <f t="shared" ref="J4:J32" si="5">IF(E4=0,"-",I4/E4)</f>
        <v>-</v>
      </c>
      <c r="K4" s="11"/>
      <c r="L4" s="12" t="str">
        <f t="shared" ref="L4:L32" si="6">IF(K4=0,"-",B4/K4)</f>
        <v>-</v>
      </c>
      <c r="M4" s="13" t="str">
        <f t="shared" ref="M4:M32" si="7">IF(I4=0,"-",K4/I4)</f>
        <v>-</v>
      </c>
      <c r="N4" s="11"/>
      <c r="O4" s="11"/>
      <c r="P4" s="13" t="str">
        <f t="shared" ref="P4:P32" si="8">IF(K4=0,"-",O4/K4)</f>
        <v>-</v>
      </c>
      <c r="Q4" s="14">
        <f t="shared" ref="Q4:Q31" si="9">IF(K4="",0,K4-O4)</f>
        <v>0</v>
      </c>
      <c r="R4" s="11"/>
      <c r="S4" s="13" t="str">
        <f t="shared" ref="S4:S31" si="10">IF(OR(Q4=0,Q4=""),"-",R4/Q4)</f>
        <v>-</v>
      </c>
      <c r="T4" s="14">
        <f t="shared" ref="T4:T31" si="11">O4+R4</f>
        <v>0</v>
      </c>
      <c r="U4" s="13" t="str">
        <f t="shared" ref="U4:U32" si="12">IF(K4=0,"-",T4/K4)</f>
        <v>-</v>
      </c>
      <c r="V4" s="15" t="str">
        <f t="shared" ref="V4:V32" si="13">IF(O4=0,"-",B4/O4)</f>
        <v>-</v>
      </c>
      <c r="W4" s="15" t="str">
        <f t="shared" ref="W4:W32" si="14">IF(R4=0,"-",B4/R4)</f>
        <v>-</v>
      </c>
      <c r="X4" s="12" t="str">
        <f t="shared" ref="X4:X32" si="15">IF(T4=0,"-",B4/T4)</f>
        <v>-</v>
      </c>
      <c r="Y4" s="11"/>
      <c r="Z4" s="13" t="str">
        <f t="shared" ref="Z4:Z32" si="16">IF(T4=0,"-",Y4/T4)</f>
        <v>-</v>
      </c>
      <c r="AA4" s="10"/>
      <c r="AB4" s="10"/>
      <c r="AC4" s="12" t="str">
        <f t="shared" ref="AC4:AC32" si="17">IF(Y4=0,"-",B4/Y4)</f>
        <v>-</v>
      </c>
      <c r="AD4" s="12">
        <f t="shared" ref="AD4:AD32" si="18">AB4-B4</f>
        <v>0</v>
      </c>
      <c r="AE4" s="16" t="str">
        <f t="shared" ref="AE4:AE32" si="19">IF(B4=0,"-",(AA4-B4)/B4)</f>
        <v>-</v>
      </c>
      <c r="AF4" s="16" t="str">
        <f t="shared" ref="AF4:AF32" si="20">IF(B4=0,"-",(AB4-B4)/B4)</f>
        <v>-</v>
      </c>
      <c r="AG4" s="17"/>
    </row>
    <row r="5">
      <c r="A5" s="18" t="s">
        <v>44</v>
      </c>
      <c r="B5" s="19"/>
      <c r="C5" s="20"/>
      <c r="D5" s="21" t="str">
        <f t="shared" si="1"/>
        <v>-</v>
      </c>
      <c r="E5" s="20"/>
      <c r="F5" s="22" t="str">
        <f t="shared" si="2"/>
        <v>-</v>
      </c>
      <c r="G5" s="21" t="str">
        <f t="shared" si="3"/>
        <v>-</v>
      </c>
      <c r="H5" s="21" t="str">
        <f t="shared" si="4"/>
        <v>-</v>
      </c>
      <c r="I5" s="20"/>
      <c r="J5" s="22" t="str">
        <f t="shared" si="5"/>
        <v>-</v>
      </c>
      <c r="K5" s="20"/>
      <c r="L5" s="21" t="str">
        <f t="shared" si="6"/>
        <v>-</v>
      </c>
      <c r="M5" s="22" t="str">
        <f t="shared" si="7"/>
        <v>-</v>
      </c>
      <c r="N5" s="20"/>
      <c r="O5" s="20"/>
      <c r="P5" s="22" t="str">
        <f t="shared" si="8"/>
        <v>-</v>
      </c>
      <c r="Q5" s="23">
        <f t="shared" si="9"/>
        <v>0</v>
      </c>
      <c r="R5" s="20"/>
      <c r="S5" s="22" t="str">
        <f t="shared" si="10"/>
        <v>-</v>
      </c>
      <c r="T5" s="23">
        <f t="shared" si="11"/>
        <v>0</v>
      </c>
      <c r="U5" s="22" t="str">
        <f t="shared" si="12"/>
        <v>-</v>
      </c>
      <c r="V5" s="24" t="str">
        <f t="shared" si="13"/>
        <v>-</v>
      </c>
      <c r="W5" s="24" t="str">
        <f t="shared" si="14"/>
        <v>-</v>
      </c>
      <c r="X5" s="21" t="str">
        <f t="shared" si="15"/>
        <v>-</v>
      </c>
      <c r="Y5" s="20"/>
      <c r="Z5" s="22" t="str">
        <f t="shared" si="16"/>
        <v>-</v>
      </c>
      <c r="AA5" s="19"/>
      <c r="AB5" s="19"/>
      <c r="AC5" s="21" t="str">
        <f t="shared" si="17"/>
        <v>-</v>
      </c>
      <c r="AD5" s="21">
        <f t="shared" si="18"/>
        <v>0</v>
      </c>
      <c r="AE5" s="25" t="str">
        <f t="shared" si="19"/>
        <v>-</v>
      </c>
      <c r="AF5" s="25" t="str">
        <f t="shared" si="20"/>
        <v>-</v>
      </c>
      <c r="AG5" s="26"/>
    </row>
    <row r="6">
      <c r="A6" s="9" t="s">
        <v>45</v>
      </c>
      <c r="B6" s="10"/>
      <c r="C6" s="11"/>
      <c r="D6" s="12" t="str">
        <f t="shared" si="1"/>
        <v>-</v>
      </c>
      <c r="E6" s="11"/>
      <c r="F6" s="13" t="str">
        <f t="shared" si="2"/>
        <v>-</v>
      </c>
      <c r="G6" s="12" t="str">
        <f t="shared" si="3"/>
        <v>-</v>
      </c>
      <c r="H6" s="12" t="str">
        <f t="shared" si="4"/>
        <v>-</v>
      </c>
      <c r="I6" s="11"/>
      <c r="J6" s="13" t="str">
        <f t="shared" si="5"/>
        <v>-</v>
      </c>
      <c r="K6" s="11"/>
      <c r="L6" s="12" t="str">
        <f t="shared" si="6"/>
        <v>-</v>
      </c>
      <c r="M6" s="13" t="str">
        <f t="shared" si="7"/>
        <v>-</v>
      </c>
      <c r="N6" s="11"/>
      <c r="O6" s="11"/>
      <c r="P6" s="13" t="str">
        <f t="shared" si="8"/>
        <v>-</v>
      </c>
      <c r="Q6" s="14">
        <f t="shared" si="9"/>
        <v>0</v>
      </c>
      <c r="R6" s="11"/>
      <c r="S6" s="13" t="str">
        <f t="shared" si="10"/>
        <v>-</v>
      </c>
      <c r="T6" s="14">
        <f t="shared" si="11"/>
        <v>0</v>
      </c>
      <c r="U6" s="13" t="str">
        <f t="shared" si="12"/>
        <v>-</v>
      </c>
      <c r="V6" s="15" t="str">
        <f t="shared" si="13"/>
        <v>-</v>
      </c>
      <c r="W6" s="15" t="str">
        <f t="shared" si="14"/>
        <v>-</v>
      </c>
      <c r="X6" s="12" t="str">
        <f t="shared" si="15"/>
        <v>-</v>
      </c>
      <c r="Y6" s="11"/>
      <c r="Z6" s="13" t="str">
        <f t="shared" si="16"/>
        <v>-</v>
      </c>
      <c r="AA6" s="10"/>
      <c r="AB6" s="10"/>
      <c r="AC6" s="12" t="str">
        <f t="shared" si="17"/>
        <v>-</v>
      </c>
      <c r="AD6" s="12">
        <f t="shared" si="18"/>
        <v>0</v>
      </c>
      <c r="AE6" s="16" t="str">
        <f t="shared" si="19"/>
        <v>-</v>
      </c>
      <c r="AF6" s="16" t="str">
        <f t="shared" si="20"/>
        <v>-</v>
      </c>
      <c r="AG6" s="17"/>
    </row>
    <row r="7">
      <c r="A7" s="18" t="s">
        <v>46</v>
      </c>
      <c r="B7" s="19"/>
      <c r="C7" s="20"/>
      <c r="D7" s="21" t="str">
        <f t="shared" si="1"/>
        <v>-</v>
      </c>
      <c r="E7" s="20"/>
      <c r="F7" s="22" t="str">
        <f t="shared" si="2"/>
        <v>-</v>
      </c>
      <c r="G7" s="21" t="str">
        <f t="shared" si="3"/>
        <v>-</v>
      </c>
      <c r="H7" s="21" t="str">
        <f t="shared" si="4"/>
        <v>-</v>
      </c>
      <c r="I7" s="20"/>
      <c r="J7" s="22" t="str">
        <f t="shared" si="5"/>
        <v>-</v>
      </c>
      <c r="K7" s="20"/>
      <c r="L7" s="21" t="str">
        <f t="shared" si="6"/>
        <v>-</v>
      </c>
      <c r="M7" s="22" t="str">
        <f t="shared" si="7"/>
        <v>-</v>
      </c>
      <c r="N7" s="20"/>
      <c r="O7" s="20"/>
      <c r="P7" s="22" t="str">
        <f t="shared" si="8"/>
        <v>-</v>
      </c>
      <c r="Q7" s="23">
        <f t="shared" si="9"/>
        <v>0</v>
      </c>
      <c r="R7" s="20"/>
      <c r="S7" s="22" t="str">
        <f t="shared" si="10"/>
        <v>-</v>
      </c>
      <c r="T7" s="23">
        <f t="shared" si="11"/>
        <v>0</v>
      </c>
      <c r="U7" s="22" t="str">
        <f t="shared" si="12"/>
        <v>-</v>
      </c>
      <c r="V7" s="24" t="str">
        <f t="shared" si="13"/>
        <v>-</v>
      </c>
      <c r="W7" s="24" t="str">
        <f t="shared" si="14"/>
        <v>-</v>
      </c>
      <c r="X7" s="21" t="str">
        <f t="shared" si="15"/>
        <v>-</v>
      </c>
      <c r="Y7" s="20"/>
      <c r="Z7" s="22" t="str">
        <f t="shared" si="16"/>
        <v>-</v>
      </c>
      <c r="AA7" s="19"/>
      <c r="AB7" s="19"/>
      <c r="AC7" s="21" t="str">
        <f t="shared" si="17"/>
        <v>-</v>
      </c>
      <c r="AD7" s="21">
        <f t="shared" si="18"/>
        <v>0</v>
      </c>
      <c r="AE7" s="25" t="str">
        <f t="shared" si="19"/>
        <v>-</v>
      </c>
      <c r="AF7" s="25" t="str">
        <f t="shared" si="20"/>
        <v>-</v>
      </c>
      <c r="AG7" s="26"/>
    </row>
    <row r="8">
      <c r="A8" s="9" t="s">
        <v>47</v>
      </c>
      <c r="B8" s="10"/>
      <c r="C8" s="11"/>
      <c r="D8" s="12" t="str">
        <f t="shared" si="1"/>
        <v>-</v>
      </c>
      <c r="E8" s="11"/>
      <c r="F8" s="13" t="str">
        <f t="shared" si="2"/>
        <v>-</v>
      </c>
      <c r="G8" s="12" t="str">
        <f t="shared" si="3"/>
        <v>-</v>
      </c>
      <c r="H8" s="12" t="str">
        <f t="shared" si="4"/>
        <v>-</v>
      </c>
      <c r="I8" s="11"/>
      <c r="J8" s="13" t="str">
        <f t="shared" si="5"/>
        <v>-</v>
      </c>
      <c r="K8" s="11"/>
      <c r="L8" s="12" t="str">
        <f t="shared" si="6"/>
        <v>-</v>
      </c>
      <c r="M8" s="13" t="str">
        <f t="shared" si="7"/>
        <v>-</v>
      </c>
      <c r="N8" s="11"/>
      <c r="O8" s="11"/>
      <c r="P8" s="13" t="str">
        <f t="shared" si="8"/>
        <v>-</v>
      </c>
      <c r="Q8" s="14">
        <f t="shared" si="9"/>
        <v>0</v>
      </c>
      <c r="R8" s="11"/>
      <c r="S8" s="13" t="str">
        <f t="shared" si="10"/>
        <v>-</v>
      </c>
      <c r="T8" s="14">
        <f t="shared" si="11"/>
        <v>0</v>
      </c>
      <c r="U8" s="13" t="str">
        <f t="shared" si="12"/>
        <v>-</v>
      </c>
      <c r="V8" s="15" t="str">
        <f t="shared" si="13"/>
        <v>-</v>
      </c>
      <c r="W8" s="15" t="str">
        <f t="shared" si="14"/>
        <v>-</v>
      </c>
      <c r="X8" s="12" t="str">
        <f t="shared" si="15"/>
        <v>-</v>
      </c>
      <c r="Y8" s="11"/>
      <c r="Z8" s="13" t="str">
        <f t="shared" si="16"/>
        <v>-</v>
      </c>
      <c r="AA8" s="10"/>
      <c r="AB8" s="10"/>
      <c r="AC8" s="12" t="str">
        <f t="shared" si="17"/>
        <v>-</v>
      </c>
      <c r="AD8" s="12">
        <f t="shared" si="18"/>
        <v>0</v>
      </c>
      <c r="AE8" s="16" t="str">
        <f t="shared" si="19"/>
        <v>-</v>
      </c>
      <c r="AF8" s="16" t="str">
        <f t="shared" si="20"/>
        <v>-</v>
      </c>
      <c r="AG8" s="17"/>
    </row>
    <row r="9">
      <c r="A9" s="18" t="s">
        <v>48</v>
      </c>
      <c r="B9" s="19"/>
      <c r="C9" s="20"/>
      <c r="D9" s="21" t="str">
        <f t="shared" si="1"/>
        <v>-</v>
      </c>
      <c r="E9" s="20"/>
      <c r="F9" s="22" t="str">
        <f t="shared" si="2"/>
        <v>-</v>
      </c>
      <c r="G9" s="21" t="str">
        <f t="shared" si="3"/>
        <v>-</v>
      </c>
      <c r="H9" s="21" t="str">
        <f t="shared" si="4"/>
        <v>-</v>
      </c>
      <c r="I9" s="20"/>
      <c r="J9" s="22" t="str">
        <f t="shared" si="5"/>
        <v>-</v>
      </c>
      <c r="K9" s="20"/>
      <c r="L9" s="21" t="str">
        <f t="shared" si="6"/>
        <v>-</v>
      </c>
      <c r="M9" s="22" t="str">
        <f t="shared" si="7"/>
        <v>-</v>
      </c>
      <c r="N9" s="20"/>
      <c r="O9" s="20"/>
      <c r="P9" s="22" t="str">
        <f t="shared" si="8"/>
        <v>-</v>
      </c>
      <c r="Q9" s="23">
        <f t="shared" si="9"/>
        <v>0</v>
      </c>
      <c r="R9" s="20"/>
      <c r="S9" s="22" t="str">
        <f t="shared" si="10"/>
        <v>-</v>
      </c>
      <c r="T9" s="23">
        <f t="shared" si="11"/>
        <v>0</v>
      </c>
      <c r="U9" s="22" t="str">
        <f t="shared" si="12"/>
        <v>-</v>
      </c>
      <c r="V9" s="24" t="str">
        <f t="shared" si="13"/>
        <v>-</v>
      </c>
      <c r="W9" s="24" t="str">
        <f t="shared" si="14"/>
        <v>-</v>
      </c>
      <c r="X9" s="21" t="str">
        <f t="shared" si="15"/>
        <v>-</v>
      </c>
      <c r="Y9" s="20"/>
      <c r="Z9" s="22" t="str">
        <f t="shared" si="16"/>
        <v>-</v>
      </c>
      <c r="AA9" s="19"/>
      <c r="AB9" s="19"/>
      <c r="AC9" s="21" t="str">
        <f t="shared" si="17"/>
        <v>-</v>
      </c>
      <c r="AD9" s="21">
        <f t="shared" si="18"/>
        <v>0</v>
      </c>
      <c r="AE9" s="25" t="str">
        <f t="shared" si="19"/>
        <v>-</v>
      </c>
      <c r="AF9" s="25" t="str">
        <f t="shared" si="20"/>
        <v>-</v>
      </c>
      <c r="AG9" s="26"/>
    </row>
    <row r="10">
      <c r="A10" s="9" t="s">
        <v>49</v>
      </c>
      <c r="B10" s="10"/>
      <c r="C10" s="11"/>
      <c r="D10" s="12" t="str">
        <f t="shared" si="1"/>
        <v>-</v>
      </c>
      <c r="E10" s="11"/>
      <c r="F10" s="13" t="str">
        <f t="shared" si="2"/>
        <v>-</v>
      </c>
      <c r="G10" s="12" t="str">
        <f t="shared" si="3"/>
        <v>-</v>
      </c>
      <c r="H10" s="12" t="str">
        <f t="shared" si="4"/>
        <v>-</v>
      </c>
      <c r="I10" s="11"/>
      <c r="J10" s="13" t="str">
        <f t="shared" si="5"/>
        <v>-</v>
      </c>
      <c r="K10" s="11"/>
      <c r="L10" s="12" t="str">
        <f t="shared" si="6"/>
        <v>-</v>
      </c>
      <c r="M10" s="13" t="str">
        <f t="shared" si="7"/>
        <v>-</v>
      </c>
      <c r="N10" s="11"/>
      <c r="O10" s="11"/>
      <c r="P10" s="13" t="str">
        <f t="shared" si="8"/>
        <v>-</v>
      </c>
      <c r="Q10" s="14">
        <f t="shared" si="9"/>
        <v>0</v>
      </c>
      <c r="R10" s="11"/>
      <c r="S10" s="13" t="str">
        <f t="shared" si="10"/>
        <v>-</v>
      </c>
      <c r="T10" s="14">
        <f t="shared" si="11"/>
        <v>0</v>
      </c>
      <c r="U10" s="13" t="str">
        <f t="shared" si="12"/>
        <v>-</v>
      </c>
      <c r="V10" s="15" t="str">
        <f t="shared" si="13"/>
        <v>-</v>
      </c>
      <c r="W10" s="15" t="str">
        <f t="shared" si="14"/>
        <v>-</v>
      </c>
      <c r="X10" s="12" t="str">
        <f t="shared" si="15"/>
        <v>-</v>
      </c>
      <c r="Y10" s="11"/>
      <c r="Z10" s="13" t="str">
        <f t="shared" si="16"/>
        <v>-</v>
      </c>
      <c r="AA10" s="10"/>
      <c r="AB10" s="10"/>
      <c r="AC10" s="12" t="str">
        <f t="shared" si="17"/>
        <v>-</v>
      </c>
      <c r="AD10" s="12">
        <f t="shared" si="18"/>
        <v>0</v>
      </c>
      <c r="AE10" s="16" t="str">
        <f t="shared" si="19"/>
        <v>-</v>
      </c>
      <c r="AF10" s="16" t="str">
        <f t="shared" si="20"/>
        <v>-</v>
      </c>
      <c r="AG10" s="17"/>
    </row>
    <row r="11">
      <c r="A11" s="18" t="s">
        <v>50</v>
      </c>
      <c r="B11" s="19"/>
      <c r="C11" s="20"/>
      <c r="D11" s="21" t="str">
        <f t="shared" si="1"/>
        <v>-</v>
      </c>
      <c r="E11" s="20"/>
      <c r="F11" s="22" t="str">
        <f t="shared" si="2"/>
        <v>-</v>
      </c>
      <c r="G11" s="21" t="str">
        <f t="shared" si="3"/>
        <v>-</v>
      </c>
      <c r="H11" s="21" t="str">
        <f t="shared" si="4"/>
        <v>-</v>
      </c>
      <c r="I11" s="20"/>
      <c r="J11" s="22" t="str">
        <f t="shared" si="5"/>
        <v>-</v>
      </c>
      <c r="K11" s="20"/>
      <c r="L11" s="21" t="str">
        <f t="shared" si="6"/>
        <v>-</v>
      </c>
      <c r="M11" s="22" t="str">
        <f t="shared" si="7"/>
        <v>-</v>
      </c>
      <c r="N11" s="20"/>
      <c r="O11" s="20"/>
      <c r="P11" s="22" t="str">
        <f t="shared" si="8"/>
        <v>-</v>
      </c>
      <c r="Q11" s="23">
        <f t="shared" si="9"/>
        <v>0</v>
      </c>
      <c r="R11" s="20"/>
      <c r="S11" s="22" t="str">
        <f t="shared" si="10"/>
        <v>-</v>
      </c>
      <c r="T11" s="23">
        <f t="shared" si="11"/>
        <v>0</v>
      </c>
      <c r="U11" s="22" t="str">
        <f t="shared" si="12"/>
        <v>-</v>
      </c>
      <c r="V11" s="24" t="str">
        <f t="shared" si="13"/>
        <v>-</v>
      </c>
      <c r="W11" s="24" t="str">
        <f t="shared" si="14"/>
        <v>-</v>
      </c>
      <c r="X11" s="21" t="str">
        <f t="shared" si="15"/>
        <v>-</v>
      </c>
      <c r="Y11" s="20"/>
      <c r="Z11" s="22" t="str">
        <f t="shared" si="16"/>
        <v>-</v>
      </c>
      <c r="AA11" s="19"/>
      <c r="AB11" s="19"/>
      <c r="AC11" s="21" t="str">
        <f t="shared" si="17"/>
        <v>-</v>
      </c>
      <c r="AD11" s="21">
        <f t="shared" si="18"/>
        <v>0</v>
      </c>
      <c r="AE11" s="25" t="str">
        <f t="shared" si="19"/>
        <v>-</v>
      </c>
      <c r="AF11" s="25" t="str">
        <f t="shared" si="20"/>
        <v>-</v>
      </c>
      <c r="AG11" s="26"/>
    </row>
    <row r="12">
      <c r="A12" s="9" t="s">
        <v>51</v>
      </c>
      <c r="B12" s="10"/>
      <c r="C12" s="11"/>
      <c r="D12" s="12" t="str">
        <f t="shared" si="1"/>
        <v>-</v>
      </c>
      <c r="E12" s="11"/>
      <c r="F12" s="13" t="str">
        <f t="shared" si="2"/>
        <v>-</v>
      </c>
      <c r="G12" s="12" t="str">
        <f t="shared" si="3"/>
        <v>-</v>
      </c>
      <c r="H12" s="12" t="str">
        <f t="shared" si="4"/>
        <v>-</v>
      </c>
      <c r="I12" s="11"/>
      <c r="J12" s="13" t="str">
        <f t="shared" si="5"/>
        <v>-</v>
      </c>
      <c r="K12" s="11"/>
      <c r="L12" s="12" t="str">
        <f t="shared" si="6"/>
        <v>-</v>
      </c>
      <c r="M12" s="13" t="str">
        <f t="shared" si="7"/>
        <v>-</v>
      </c>
      <c r="N12" s="11"/>
      <c r="O12" s="11"/>
      <c r="P12" s="13" t="str">
        <f t="shared" si="8"/>
        <v>-</v>
      </c>
      <c r="Q12" s="14">
        <f t="shared" si="9"/>
        <v>0</v>
      </c>
      <c r="R12" s="11"/>
      <c r="S12" s="13" t="str">
        <f t="shared" si="10"/>
        <v>-</v>
      </c>
      <c r="T12" s="14">
        <f t="shared" si="11"/>
        <v>0</v>
      </c>
      <c r="U12" s="13" t="str">
        <f t="shared" si="12"/>
        <v>-</v>
      </c>
      <c r="V12" s="15" t="str">
        <f t="shared" si="13"/>
        <v>-</v>
      </c>
      <c r="W12" s="15" t="str">
        <f t="shared" si="14"/>
        <v>-</v>
      </c>
      <c r="X12" s="12" t="str">
        <f t="shared" si="15"/>
        <v>-</v>
      </c>
      <c r="Y12" s="11"/>
      <c r="Z12" s="13" t="str">
        <f t="shared" si="16"/>
        <v>-</v>
      </c>
      <c r="AA12" s="10"/>
      <c r="AB12" s="10"/>
      <c r="AC12" s="12" t="str">
        <f t="shared" si="17"/>
        <v>-</v>
      </c>
      <c r="AD12" s="12">
        <f t="shared" si="18"/>
        <v>0</v>
      </c>
      <c r="AE12" s="16" t="str">
        <f t="shared" si="19"/>
        <v>-</v>
      </c>
      <c r="AF12" s="16" t="str">
        <f t="shared" si="20"/>
        <v>-</v>
      </c>
      <c r="AG12" s="17"/>
    </row>
    <row r="13">
      <c r="A13" s="18" t="s">
        <v>52</v>
      </c>
      <c r="B13" s="19"/>
      <c r="C13" s="20"/>
      <c r="D13" s="21" t="str">
        <f t="shared" si="1"/>
        <v>-</v>
      </c>
      <c r="E13" s="20"/>
      <c r="F13" s="22" t="str">
        <f t="shared" si="2"/>
        <v>-</v>
      </c>
      <c r="G13" s="21" t="str">
        <f t="shared" si="3"/>
        <v>-</v>
      </c>
      <c r="H13" s="21" t="str">
        <f t="shared" si="4"/>
        <v>-</v>
      </c>
      <c r="I13" s="20"/>
      <c r="J13" s="22" t="str">
        <f t="shared" si="5"/>
        <v>-</v>
      </c>
      <c r="K13" s="20"/>
      <c r="L13" s="21" t="str">
        <f t="shared" si="6"/>
        <v>-</v>
      </c>
      <c r="M13" s="22" t="str">
        <f t="shared" si="7"/>
        <v>-</v>
      </c>
      <c r="N13" s="20"/>
      <c r="O13" s="20"/>
      <c r="P13" s="22" t="str">
        <f t="shared" si="8"/>
        <v>-</v>
      </c>
      <c r="Q13" s="23">
        <f t="shared" si="9"/>
        <v>0</v>
      </c>
      <c r="R13" s="20"/>
      <c r="S13" s="22" t="str">
        <f t="shared" si="10"/>
        <v>-</v>
      </c>
      <c r="T13" s="23">
        <f t="shared" si="11"/>
        <v>0</v>
      </c>
      <c r="U13" s="22" t="str">
        <f t="shared" si="12"/>
        <v>-</v>
      </c>
      <c r="V13" s="24" t="str">
        <f t="shared" si="13"/>
        <v>-</v>
      </c>
      <c r="W13" s="24" t="str">
        <f t="shared" si="14"/>
        <v>-</v>
      </c>
      <c r="X13" s="21" t="str">
        <f t="shared" si="15"/>
        <v>-</v>
      </c>
      <c r="Y13" s="20"/>
      <c r="Z13" s="22" t="str">
        <f t="shared" si="16"/>
        <v>-</v>
      </c>
      <c r="AA13" s="19"/>
      <c r="AB13" s="19"/>
      <c r="AC13" s="21" t="str">
        <f t="shared" si="17"/>
        <v>-</v>
      </c>
      <c r="AD13" s="21">
        <f t="shared" si="18"/>
        <v>0</v>
      </c>
      <c r="AE13" s="25" t="str">
        <f t="shared" si="19"/>
        <v>-</v>
      </c>
      <c r="AF13" s="25" t="str">
        <f t="shared" si="20"/>
        <v>-</v>
      </c>
      <c r="AG13" s="26"/>
    </row>
    <row r="14">
      <c r="A14" s="9" t="s">
        <v>53</v>
      </c>
      <c r="B14" s="10"/>
      <c r="C14" s="11"/>
      <c r="D14" s="12" t="str">
        <f t="shared" si="1"/>
        <v>-</v>
      </c>
      <c r="E14" s="11"/>
      <c r="F14" s="13" t="str">
        <f t="shared" si="2"/>
        <v>-</v>
      </c>
      <c r="G14" s="12" t="str">
        <f t="shared" si="3"/>
        <v>-</v>
      </c>
      <c r="H14" s="12" t="str">
        <f t="shared" si="4"/>
        <v>-</v>
      </c>
      <c r="I14" s="11"/>
      <c r="J14" s="13" t="str">
        <f t="shared" si="5"/>
        <v>-</v>
      </c>
      <c r="K14" s="11"/>
      <c r="L14" s="12" t="str">
        <f t="shared" si="6"/>
        <v>-</v>
      </c>
      <c r="M14" s="13" t="str">
        <f t="shared" si="7"/>
        <v>-</v>
      </c>
      <c r="N14" s="11"/>
      <c r="O14" s="11"/>
      <c r="P14" s="13" t="str">
        <f t="shared" si="8"/>
        <v>-</v>
      </c>
      <c r="Q14" s="14">
        <f t="shared" si="9"/>
        <v>0</v>
      </c>
      <c r="R14" s="11"/>
      <c r="S14" s="13" t="str">
        <f t="shared" si="10"/>
        <v>-</v>
      </c>
      <c r="T14" s="14">
        <f t="shared" si="11"/>
        <v>0</v>
      </c>
      <c r="U14" s="13" t="str">
        <f t="shared" si="12"/>
        <v>-</v>
      </c>
      <c r="V14" s="15" t="str">
        <f t="shared" si="13"/>
        <v>-</v>
      </c>
      <c r="W14" s="15" t="str">
        <f t="shared" si="14"/>
        <v>-</v>
      </c>
      <c r="X14" s="12" t="str">
        <f t="shared" si="15"/>
        <v>-</v>
      </c>
      <c r="Y14" s="11"/>
      <c r="Z14" s="13" t="str">
        <f t="shared" si="16"/>
        <v>-</v>
      </c>
      <c r="AA14" s="10"/>
      <c r="AB14" s="10"/>
      <c r="AC14" s="12" t="str">
        <f t="shared" si="17"/>
        <v>-</v>
      </c>
      <c r="AD14" s="12">
        <f t="shared" si="18"/>
        <v>0</v>
      </c>
      <c r="AE14" s="16" t="str">
        <f t="shared" si="19"/>
        <v>-</v>
      </c>
      <c r="AF14" s="16" t="str">
        <f t="shared" si="20"/>
        <v>-</v>
      </c>
      <c r="AG14" s="17"/>
    </row>
    <row r="15">
      <c r="A15" s="18" t="s">
        <v>54</v>
      </c>
      <c r="B15" s="19"/>
      <c r="C15" s="20"/>
      <c r="D15" s="21" t="str">
        <f t="shared" si="1"/>
        <v>-</v>
      </c>
      <c r="E15" s="20"/>
      <c r="F15" s="22" t="str">
        <f t="shared" si="2"/>
        <v>-</v>
      </c>
      <c r="G15" s="21" t="str">
        <f t="shared" si="3"/>
        <v>-</v>
      </c>
      <c r="H15" s="21" t="str">
        <f t="shared" si="4"/>
        <v>-</v>
      </c>
      <c r="I15" s="20"/>
      <c r="J15" s="22" t="str">
        <f t="shared" si="5"/>
        <v>-</v>
      </c>
      <c r="K15" s="20"/>
      <c r="L15" s="21" t="str">
        <f t="shared" si="6"/>
        <v>-</v>
      </c>
      <c r="M15" s="22" t="str">
        <f t="shared" si="7"/>
        <v>-</v>
      </c>
      <c r="N15" s="20"/>
      <c r="O15" s="20"/>
      <c r="P15" s="22" t="str">
        <f t="shared" si="8"/>
        <v>-</v>
      </c>
      <c r="Q15" s="23">
        <f t="shared" si="9"/>
        <v>0</v>
      </c>
      <c r="R15" s="20"/>
      <c r="S15" s="22" t="str">
        <f t="shared" si="10"/>
        <v>-</v>
      </c>
      <c r="T15" s="23">
        <f t="shared" si="11"/>
        <v>0</v>
      </c>
      <c r="U15" s="22" t="str">
        <f t="shared" si="12"/>
        <v>-</v>
      </c>
      <c r="V15" s="24" t="str">
        <f t="shared" si="13"/>
        <v>-</v>
      </c>
      <c r="W15" s="24" t="str">
        <f t="shared" si="14"/>
        <v>-</v>
      </c>
      <c r="X15" s="21" t="str">
        <f t="shared" si="15"/>
        <v>-</v>
      </c>
      <c r="Y15" s="20"/>
      <c r="Z15" s="22" t="str">
        <f t="shared" si="16"/>
        <v>-</v>
      </c>
      <c r="AA15" s="19"/>
      <c r="AB15" s="19"/>
      <c r="AC15" s="21" t="str">
        <f t="shared" si="17"/>
        <v>-</v>
      </c>
      <c r="AD15" s="21">
        <f t="shared" si="18"/>
        <v>0</v>
      </c>
      <c r="AE15" s="25" t="str">
        <f t="shared" si="19"/>
        <v>-</v>
      </c>
      <c r="AF15" s="25" t="str">
        <f t="shared" si="20"/>
        <v>-</v>
      </c>
      <c r="AG15" s="26"/>
    </row>
    <row r="16">
      <c r="A16" s="9" t="s">
        <v>55</v>
      </c>
      <c r="B16" s="10"/>
      <c r="C16" s="11"/>
      <c r="D16" s="12" t="str">
        <f t="shared" si="1"/>
        <v>-</v>
      </c>
      <c r="E16" s="11"/>
      <c r="F16" s="13" t="str">
        <f t="shared" si="2"/>
        <v>-</v>
      </c>
      <c r="G16" s="12" t="str">
        <f t="shared" si="3"/>
        <v>-</v>
      </c>
      <c r="H16" s="12" t="str">
        <f t="shared" si="4"/>
        <v>-</v>
      </c>
      <c r="I16" s="11"/>
      <c r="J16" s="13" t="str">
        <f t="shared" si="5"/>
        <v>-</v>
      </c>
      <c r="K16" s="11"/>
      <c r="L16" s="12" t="str">
        <f t="shared" si="6"/>
        <v>-</v>
      </c>
      <c r="M16" s="13" t="str">
        <f t="shared" si="7"/>
        <v>-</v>
      </c>
      <c r="N16" s="11"/>
      <c r="O16" s="11"/>
      <c r="P16" s="13" t="str">
        <f t="shared" si="8"/>
        <v>-</v>
      </c>
      <c r="Q16" s="14">
        <f t="shared" si="9"/>
        <v>0</v>
      </c>
      <c r="R16" s="11"/>
      <c r="S16" s="13" t="str">
        <f t="shared" si="10"/>
        <v>-</v>
      </c>
      <c r="T16" s="14">
        <f t="shared" si="11"/>
        <v>0</v>
      </c>
      <c r="U16" s="13" t="str">
        <f t="shared" si="12"/>
        <v>-</v>
      </c>
      <c r="V16" s="15" t="str">
        <f t="shared" si="13"/>
        <v>-</v>
      </c>
      <c r="W16" s="15" t="str">
        <f t="shared" si="14"/>
        <v>-</v>
      </c>
      <c r="X16" s="12" t="str">
        <f t="shared" si="15"/>
        <v>-</v>
      </c>
      <c r="Y16" s="11"/>
      <c r="Z16" s="13" t="str">
        <f t="shared" si="16"/>
        <v>-</v>
      </c>
      <c r="AA16" s="10"/>
      <c r="AB16" s="10"/>
      <c r="AC16" s="12" t="str">
        <f t="shared" si="17"/>
        <v>-</v>
      </c>
      <c r="AD16" s="12">
        <f t="shared" si="18"/>
        <v>0</v>
      </c>
      <c r="AE16" s="16" t="str">
        <f t="shared" si="19"/>
        <v>-</v>
      </c>
      <c r="AF16" s="16" t="str">
        <f t="shared" si="20"/>
        <v>-</v>
      </c>
      <c r="AG16" s="17"/>
    </row>
    <row r="17">
      <c r="A17" s="18" t="s">
        <v>56</v>
      </c>
      <c r="B17" s="19"/>
      <c r="C17" s="20"/>
      <c r="D17" s="21" t="str">
        <f t="shared" si="1"/>
        <v>-</v>
      </c>
      <c r="E17" s="20"/>
      <c r="F17" s="22" t="str">
        <f t="shared" si="2"/>
        <v>-</v>
      </c>
      <c r="G17" s="21" t="str">
        <f t="shared" si="3"/>
        <v>-</v>
      </c>
      <c r="H17" s="21" t="str">
        <f t="shared" si="4"/>
        <v>-</v>
      </c>
      <c r="I17" s="20"/>
      <c r="J17" s="22" t="str">
        <f t="shared" si="5"/>
        <v>-</v>
      </c>
      <c r="K17" s="20"/>
      <c r="L17" s="21" t="str">
        <f t="shared" si="6"/>
        <v>-</v>
      </c>
      <c r="M17" s="22" t="str">
        <f t="shared" si="7"/>
        <v>-</v>
      </c>
      <c r="N17" s="20"/>
      <c r="O17" s="20"/>
      <c r="P17" s="22" t="str">
        <f t="shared" si="8"/>
        <v>-</v>
      </c>
      <c r="Q17" s="23">
        <f t="shared" si="9"/>
        <v>0</v>
      </c>
      <c r="R17" s="20"/>
      <c r="S17" s="22" t="str">
        <f t="shared" si="10"/>
        <v>-</v>
      </c>
      <c r="T17" s="23">
        <f t="shared" si="11"/>
        <v>0</v>
      </c>
      <c r="U17" s="22" t="str">
        <f t="shared" si="12"/>
        <v>-</v>
      </c>
      <c r="V17" s="24" t="str">
        <f t="shared" si="13"/>
        <v>-</v>
      </c>
      <c r="W17" s="24" t="str">
        <f t="shared" si="14"/>
        <v>-</v>
      </c>
      <c r="X17" s="21" t="str">
        <f t="shared" si="15"/>
        <v>-</v>
      </c>
      <c r="Y17" s="20"/>
      <c r="Z17" s="22" t="str">
        <f t="shared" si="16"/>
        <v>-</v>
      </c>
      <c r="AA17" s="19"/>
      <c r="AB17" s="19"/>
      <c r="AC17" s="21" t="str">
        <f t="shared" si="17"/>
        <v>-</v>
      </c>
      <c r="AD17" s="21">
        <f t="shared" si="18"/>
        <v>0</v>
      </c>
      <c r="AE17" s="25" t="str">
        <f t="shared" si="19"/>
        <v>-</v>
      </c>
      <c r="AF17" s="25" t="str">
        <f t="shared" si="20"/>
        <v>-</v>
      </c>
      <c r="AG17" s="26"/>
    </row>
    <row r="18">
      <c r="A18" s="9" t="s">
        <v>57</v>
      </c>
      <c r="B18" s="10"/>
      <c r="C18" s="11"/>
      <c r="D18" s="12" t="str">
        <f t="shared" si="1"/>
        <v>-</v>
      </c>
      <c r="E18" s="11"/>
      <c r="F18" s="13" t="str">
        <f t="shared" si="2"/>
        <v>-</v>
      </c>
      <c r="G18" s="12" t="str">
        <f t="shared" si="3"/>
        <v>-</v>
      </c>
      <c r="H18" s="12" t="str">
        <f t="shared" si="4"/>
        <v>-</v>
      </c>
      <c r="I18" s="11"/>
      <c r="J18" s="13" t="str">
        <f t="shared" si="5"/>
        <v>-</v>
      </c>
      <c r="K18" s="11"/>
      <c r="L18" s="12" t="str">
        <f t="shared" si="6"/>
        <v>-</v>
      </c>
      <c r="M18" s="13" t="str">
        <f t="shared" si="7"/>
        <v>-</v>
      </c>
      <c r="N18" s="11"/>
      <c r="O18" s="11"/>
      <c r="P18" s="13" t="str">
        <f t="shared" si="8"/>
        <v>-</v>
      </c>
      <c r="Q18" s="14">
        <f t="shared" si="9"/>
        <v>0</v>
      </c>
      <c r="R18" s="11"/>
      <c r="S18" s="13" t="str">
        <f t="shared" si="10"/>
        <v>-</v>
      </c>
      <c r="T18" s="14">
        <f t="shared" si="11"/>
        <v>0</v>
      </c>
      <c r="U18" s="13" t="str">
        <f t="shared" si="12"/>
        <v>-</v>
      </c>
      <c r="V18" s="15" t="str">
        <f t="shared" si="13"/>
        <v>-</v>
      </c>
      <c r="W18" s="15" t="str">
        <f t="shared" si="14"/>
        <v>-</v>
      </c>
      <c r="X18" s="12" t="str">
        <f t="shared" si="15"/>
        <v>-</v>
      </c>
      <c r="Y18" s="11"/>
      <c r="Z18" s="13" t="str">
        <f t="shared" si="16"/>
        <v>-</v>
      </c>
      <c r="AA18" s="10"/>
      <c r="AB18" s="10"/>
      <c r="AC18" s="12" t="str">
        <f t="shared" si="17"/>
        <v>-</v>
      </c>
      <c r="AD18" s="12">
        <f t="shared" si="18"/>
        <v>0</v>
      </c>
      <c r="AE18" s="16" t="str">
        <f t="shared" si="19"/>
        <v>-</v>
      </c>
      <c r="AF18" s="16" t="str">
        <f t="shared" si="20"/>
        <v>-</v>
      </c>
      <c r="AG18" s="17"/>
    </row>
    <row r="19">
      <c r="A19" s="18" t="s">
        <v>58</v>
      </c>
      <c r="B19" s="19"/>
      <c r="C19" s="20"/>
      <c r="D19" s="21" t="str">
        <f t="shared" si="1"/>
        <v>-</v>
      </c>
      <c r="E19" s="20"/>
      <c r="F19" s="22" t="str">
        <f t="shared" si="2"/>
        <v>-</v>
      </c>
      <c r="G19" s="21" t="str">
        <f t="shared" si="3"/>
        <v>-</v>
      </c>
      <c r="H19" s="21" t="str">
        <f t="shared" si="4"/>
        <v>-</v>
      </c>
      <c r="I19" s="20"/>
      <c r="J19" s="22" t="str">
        <f t="shared" si="5"/>
        <v>-</v>
      </c>
      <c r="K19" s="20"/>
      <c r="L19" s="21" t="str">
        <f t="shared" si="6"/>
        <v>-</v>
      </c>
      <c r="M19" s="22" t="str">
        <f t="shared" si="7"/>
        <v>-</v>
      </c>
      <c r="N19" s="20"/>
      <c r="O19" s="20"/>
      <c r="P19" s="22" t="str">
        <f t="shared" si="8"/>
        <v>-</v>
      </c>
      <c r="Q19" s="23">
        <f t="shared" si="9"/>
        <v>0</v>
      </c>
      <c r="R19" s="20"/>
      <c r="S19" s="22" t="str">
        <f t="shared" si="10"/>
        <v>-</v>
      </c>
      <c r="T19" s="23">
        <f t="shared" si="11"/>
        <v>0</v>
      </c>
      <c r="U19" s="22" t="str">
        <f t="shared" si="12"/>
        <v>-</v>
      </c>
      <c r="V19" s="24" t="str">
        <f t="shared" si="13"/>
        <v>-</v>
      </c>
      <c r="W19" s="24" t="str">
        <f t="shared" si="14"/>
        <v>-</v>
      </c>
      <c r="X19" s="21" t="str">
        <f t="shared" si="15"/>
        <v>-</v>
      </c>
      <c r="Y19" s="20"/>
      <c r="Z19" s="22" t="str">
        <f t="shared" si="16"/>
        <v>-</v>
      </c>
      <c r="AA19" s="19"/>
      <c r="AB19" s="19"/>
      <c r="AC19" s="21" t="str">
        <f t="shared" si="17"/>
        <v>-</v>
      </c>
      <c r="AD19" s="21">
        <f t="shared" si="18"/>
        <v>0</v>
      </c>
      <c r="AE19" s="25" t="str">
        <f t="shared" si="19"/>
        <v>-</v>
      </c>
      <c r="AF19" s="25" t="str">
        <f t="shared" si="20"/>
        <v>-</v>
      </c>
      <c r="AG19" s="26"/>
    </row>
    <row r="20">
      <c r="A20" s="9" t="s">
        <v>59</v>
      </c>
      <c r="B20" s="10"/>
      <c r="C20" s="11"/>
      <c r="D20" s="12" t="str">
        <f t="shared" si="1"/>
        <v>-</v>
      </c>
      <c r="E20" s="11"/>
      <c r="F20" s="13" t="str">
        <f t="shared" si="2"/>
        <v>-</v>
      </c>
      <c r="G20" s="12" t="str">
        <f t="shared" si="3"/>
        <v>-</v>
      </c>
      <c r="H20" s="12" t="str">
        <f t="shared" si="4"/>
        <v>-</v>
      </c>
      <c r="I20" s="11"/>
      <c r="J20" s="13" t="str">
        <f t="shared" si="5"/>
        <v>-</v>
      </c>
      <c r="K20" s="11"/>
      <c r="L20" s="12" t="str">
        <f t="shared" si="6"/>
        <v>-</v>
      </c>
      <c r="M20" s="13" t="str">
        <f t="shared" si="7"/>
        <v>-</v>
      </c>
      <c r="N20" s="11"/>
      <c r="O20" s="11"/>
      <c r="P20" s="13" t="str">
        <f t="shared" si="8"/>
        <v>-</v>
      </c>
      <c r="Q20" s="14">
        <f t="shared" si="9"/>
        <v>0</v>
      </c>
      <c r="R20" s="11"/>
      <c r="S20" s="13" t="str">
        <f t="shared" si="10"/>
        <v>-</v>
      </c>
      <c r="T20" s="14">
        <f t="shared" si="11"/>
        <v>0</v>
      </c>
      <c r="U20" s="13" t="str">
        <f t="shared" si="12"/>
        <v>-</v>
      </c>
      <c r="V20" s="15" t="str">
        <f t="shared" si="13"/>
        <v>-</v>
      </c>
      <c r="W20" s="15" t="str">
        <f t="shared" si="14"/>
        <v>-</v>
      </c>
      <c r="X20" s="12" t="str">
        <f t="shared" si="15"/>
        <v>-</v>
      </c>
      <c r="Y20" s="11"/>
      <c r="Z20" s="13" t="str">
        <f t="shared" si="16"/>
        <v>-</v>
      </c>
      <c r="AA20" s="10"/>
      <c r="AB20" s="10"/>
      <c r="AC20" s="12" t="str">
        <f t="shared" si="17"/>
        <v>-</v>
      </c>
      <c r="AD20" s="12">
        <f t="shared" si="18"/>
        <v>0</v>
      </c>
      <c r="AE20" s="16" t="str">
        <f t="shared" si="19"/>
        <v>-</v>
      </c>
      <c r="AF20" s="16" t="str">
        <f t="shared" si="20"/>
        <v>-</v>
      </c>
      <c r="AG20" s="17"/>
    </row>
    <row r="21" ht="15.75" customHeight="1">
      <c r="A21" s="18" t="s">
        <v>60</v>
      </c>
      <c r="B21" s="19"/>
      <c r="C21" s="20"/>
      <c r="D21" s="21" t="str">
        <f t="shared" si="1"/>
        <v>-</v>
      </c>
      <c r="E21" s="20"/>
      <c r="F21" s="22" t="str">
        <f t="shared" si="2"/>
        <v>-</v>
      </c>
      <c r="G21" s="21" t="str">
        <f t="shared" si="3"/>
        <v>-</v>
      </c>
      <c r="H21" s="21" t="str">
        <f t="shared" si="4"/>
        <v>-</v>
      </c>
      <c r="I21" s="20"/>
      <c r="J21" s="22" t="str">
        <f t="shared" si="5"/>
        <v>-</v>
      </c>
      <c r="K21" s="20"/>
      <c r="L21" s="21" t="str">
        <f t="shared" si="6"/>
        <v>-</v>
      </c>
      <c r="M21" s="22" t="str">
        <f t="shared" si="7"/>
        <v>-</v>
      </c>
      <c r="N21" s="20"/>
      <c r="O21" s="20"/>
      <c r="P21" s="22" t="str">
        <f t="shared" si="8"/>
        <v>-</v>
      </c>
      <c r="Q21" s="23">
        <f t="shared" si="9"/>
        <v>0</v>
      </c>
      <c r="R21" s="20"/>
      <c r="S21" s="22" t="str">
        <f t="shared" si="10"/>
        <v>-</v>
      </c>
      <c r="T21" s="23">
        <f t="shared" si="11"/>
        <v>0</v>
      </c>
      <c r="U21" s="22" t="str">
        <f t="shared" si="12"/>
        <v>-</v>
      </c>
      <c r="V21" s="24" t="str">
        <f t="shared" si="13"/>
        <v>-</v>
      </c>
      <c r="W21" s="24" t="str">
        <f t="shared" si="14"/>
        <v>-</v>
      </c>
      <c r="X21" s="21" t="str">
        <f t="shared" si="15"/>
        <v>-</v>
      </c>
      <c r="Y21" s="20"/>
      <c r="Z21" s="22" t="str">
        <f t="shared" si="16"/>
        <v>-</v>
      </c>
      <c r="AA21" s="19"/>
      <c r="AB21" s="19"/>
      <c r="AC21" s="21" t="str">
        <f t="shared" si="17"/>
        <v>-</v>
      </c>
      <c r="AD21" s="21">
        <f t="shared" si="18"/>
        <v>0</v>
      </c>
      <c r="AE21" s="25" t="str">
        <f t="shared" si="19"/>
        <v>-</v>
      </c>
      <c r="AF21" s="25" t="str">
        <f t="shared" si="20"/>
        <v>-</v>
      </c>
      <c r="AG21" s="26"/>
    </row>
    <row r="22" ht="15.75" customHeight="1">
      <c r="A22" s="9" t="s">
        <v>61</v>
      </c>
      <c r="B22" s="10"/>
      <c r="C22" s="11"/>
      <c r="D22" s="12" t="str">
        <f t="shared" si="1"/>
        <v>-</v>
      </c>
      <c r="E22" s="11"/>
      <c r="F22" s="13" t="str">
        <f t="shared" si="2"/>
        <v>-</v>
      </c>
      <c r="G22" s="12" t="str">
        <f t="shared" si="3"/>
        <v>-</v>
      </c>
      <c r="H22" s="12" t="str">
        <f t="shared" si="4"/>
        <v>-</v>
      </c>
      <c r="I22" s="11"/>
      <c r="J22" s="13" t="str">
        <f t="shared" si="5"/>
        <v>-</v>
      </c>
      <c r="K22" s="11"/>
      <c r="L22" s="12" t="str">
        <f t="shared" si="6"/>
        <v>-</v>
      </c>
      <c r="M22" s="13" t="str">
        <f t="shared" si="7"/>
        <v>-</v>
      </c>
      <c r="N22" s="11"/>
      <c r="O22" s="11"/>
      <c r="P22" s="13" t="str">
        <f t="shared" si="8"/>
        <v>-</v>
      </c>
      <c r="Q22" s="14">
        <f t="shared" si="9"/>
        <v>0</v>
      </c>
      <c r="R22" s="11"/>
      <c r="S22" s="13" t="str">
        <f t="shared" si="10"/>
        <v>-</v>
      </c>
      <c r="T22" s="14">
        <f t="shared" si="11"/>
        <v>0</v>
      </c>
      <c r="U22" s="13" t="str">
        <f t="shared" si="12"/>
        <v>-</v>
      </c>
      <c r="V22" s="15" t="str">
        <f t="shared" si="13"/>
        <v>-</v>
      </c>
      <c r="W22" s="15" t="str">
        <f t="shared" si="14"/>
        <v>-</v>
      </c>
      <c r="X22" s="12" t="str">
        <f t="shared" si="15"/>
        <v>-</v>
      </c>
      <c r="Y22" s="11"/>
      <c r="Z22" s="13" t="str">
        <f t="shared" si="16"/>
        <v>-</v>
      </c>
      <c r="AA22" s="10"/>
      <c r="AB22" s="10"/>
      <c r="AC22" s="12" t="str">
        <f t="shared" si="17"/>
        <v>-</v>
      </c>
      <c r="AD22" s="12">
        <f t="shared" si="18"/>
        <v>0</v>
      </c>
      <c r="AE22" s="16" t="str">
        <f t="shared" si="19"/>
        <v>-</v>
      </c>
      <c r="AF22" s="16" t="str">
        <f t="shared" si="20"/>
        <v>-</v>
      </c>
      <c r="AG22" s="17"/>
    </row>
    <row r="23" ht="15.75" customHeight="1">
      <c r="A23" s="18" t="s">
        <v>62</v>
      </c>
      <c r="B23" s="19"/>
      <c r="C23" s="20"/>
      <c r="D23" s="21" t="str">
        <f t="shared" si="1"/>
        <v>-</v>
      </c>
      <c r="E23" s="20"/>
      <c r="F23" s="22" t="str">
        <f t="shared" si="2"/>
        <v>-</v>
      </c>
      <c r="G23" s="21" t="str">
        <f t="shared" si="3"/>
        <v>-</v>
      </c>
      <c r="H23" s="21" t="str">
        <f t="shared" si="4"/>
        <v>-</v>
      </c>
      <c r="I23" s="20"/>
      <c r="J23" s="22" t="str">
        <f t="shared" si="5"/>
        <v>-</v>
      </c>
      <c r="K23" s="20"/>
      <c r="L23" s="21" t="str">
        <f t="shared" si="6"/>
        <v>-</v>
      </c>
      <c r="M23" s="22" t="str">
        <f t="shared" si="7"/>
        <v>-</v>
      </c>
      <c r="N23" s="20"/>
      <c r="O23" s="20"/>
      <c r="P23" s="22" t="str">
        <f t="shared" si="8"/>
        <v>-</v>
      </c>
      <c r="Q23" s="23">
        <f t="shared" si="9"/>
        <v>0</v>
      </c>
      <c r="R23" s="20"/>
      <c r="S23" s="22" t="str">
        <f t="shared" si="10"/>
        <v>-</v>
      </c>
      <c r="T23" s="23">
        <f t="shared" si="11"/>
        <v>0</v>
      </c>
      <c r="U23" s="22" t="str">
        <f t="shared" si="12"/>
        <v>-</v>
      </c>
      <c r="V23" s="24" t="str">
        <f t="shared" si="13"/>
        <v>-</v>
      </c>
      <c r="W23" s="24" t="str">
        <f t="shared" si="14"/>
        <v>-</v>
      </c>
      <c r="X23" s="21" t="str">
        <f t="shared" si="15"/>
        <v>-</v>
      </c>
      <c r="Y23" s="20"/>
      <c r="Z23" s="22" t="str">
        <f t="shared" si="16"/>
        <v>-</v>
      </c>
      <c r="AA23" s="19"/>
      <c r="AB23" s="19"/>
      <c r="AC23" s="21" t="str">
        <f t="shared" si="17"/>
        <v>-</v>
      </c>
      <c r="AD23" s="21">
        <f t="shared" si="18"/>
        <v>0</v>
      </c>
      <c r="AE23" s="25" t="str">
        <f t="shared" si="19"/>
        <v>-</v>
      </c>
      <c r="AF23" s="25" t="str">
        <f t="shared" si="20"/>
        <v>-</v>
      </c>
      <c r="AG23" s="26"/>
    </row>
    <row r="24" ht="15.75" customHeight="1">
      <c r="A24" s="9" t="s">
        <v>63</v>
      </c>
      <c r="B24" s="10"/>
      <c r="C24" s="11"/>
      <c r="D24" s="12" t="str">
        <f t="shared" si="1"/>
        <v>-</v>
      </c>
      <c r="E24" s="11"/>
      <c r="F24" s="13" t="str">
        <f t="shared" si="2"/>
        <v>-</v>
      </c>
      <c r="G24" s="12" t="str">
        <f t="shared" si="3"/>
        <v>-</v>
      </c>
      <c r="H24" s="12" t="str">
        <f t="shared" si="4"/>
        <v>-</v>
      </c>
      <c r="I24" s="11"/>
      <c r="J24" s="13" t="str">
        <f t="shared" si="5"/>
        <v>-</v>
      </c>
      <c r="K24" s="11"/>
      <c r="L24" s="12" t="str">
        <f t="shared" si="6"/>
        <v>-</v>
      </c>
      <c r="M24" s="13" t="str">
        <f t="shared" si="7"/>
        <v>-</v>
      </c>
      <c r="N24" s="11"/>
      <c r="O24" s="11"/>
      <c r="P24" s="13" t="str">
        <f t="shared" si="8"/>
        <v>-</v>
      </c>
      <c r="Q24" s="14">
        <f t="shared" si="9"/>
        <v>0</v>
      </c>
      <c r="R24" s="11"/>
      <c r="S24" s="13" t="str">
        <f t="shared" si="10"/>
        <v>-</v>
      </c>
      <c r="T24" s="14">
        <f t="shared" si="11"/>
        <v>0</v>
      </c>
      <c r="U24" s="13" t="str">
        <f t="shared" si="12"/>
        <v>-</v>
      </c>
      <c r="V24" s="15" t="str">
        <f t="shared" si="13"/>
        <v>-</v>
      </c>
      <c r="W24" s="15" t="str">
        <f t="shared" si="14"/>
        <v>-</v>
      </c>
      <c r="X24" s="12" t="str">
        <f t="shared" si="15"/>
        <v>-</v>
      </c>
      <c r="Y24" s="11"/>
      <c r="Z24" s="13" t="str">
        <f t="shared" si="16"/>
        <v>-</v>
      </c>
      <c r="AA24" s="10"/>
      <c r="AB24" s="10"/>
      <c r="AC24" s="12" t="str">
        <f t="shared" si="17"/>
        <v>-</v>
      </c>
      <c r="AD24" s="12">
        <f t="shared" si="18"/>
        <v>0</v>
      </c>
      <c r="AE24" s="16" t="str">
        <f t="shared" si="19"/>
        <v>-</v>
      </c>
      <c r="AF24" s="16" t="str">
        <f t="shared" si="20"/>
        <v>-</v>
      </c>
      <c r="AG24" s="17"/>
    </row>
    <row r="25" ht="15.75" customHeight="1">
      <c r="A25" s="18" t="s">
        <v>64</v>
      </c>
      <c r="B25" s="19"/>
      <c r="C25" s="20"/>
      <c r="D25" s="21" t="str">
        <f t="shared" si="1"/>
        <v>-</v>
      </c>
      <c r="E25" s="20"/>
      <c r="F25" s="22" t="str">
        <f t="shared" si="2"/>
        <v>-</v>
      </c>
      <c r="G25" s="21" t="str">
        <f t="shared" si="3"/>
        <v>-</v>
      </c>
      <c r="H25" s="21" t="str">
        <f t="shared" si="4"/>
        <v>-</v>
      </c>
      <c r="I25" s="20"/>
      <c r="J25" s="22" t="str">
        <f t="shared" si="5"/>
        <v>-</v>
      </c>
      <c r="K25" s="20"/>
      <c r="L25" s="21" t="str">
        <f t="shared" si="6"/>
        <v>-</v>
      </c>
      <c r="M25" s="22" t="str">
        <f t="shared" si="7"/>
        <v>-</v>
      </c>
      <c r="N25" s="20"/>
      <c r="O25" s="20"/>
      <c r="P25" s="22" t="str">
        <f t="shared" si="8"/>
        <v>-</v>
      </c>
      <c r="Q25" s="23">
        <f t="shared" si="9"/>
        <v>0</v>
      </c>
      <c r="R25" s="20"/>
      <c r="S25" s="22" t="str">
        <f t="shared" si="10"/>
        <v>-</v>
      </c>
      <c r="T25" s="23">
        <f t="shared" si="11"/>
        <v>0</v>
      </c>
      <c r="U25" s="22" t="str">
        <f t="shared" si="12"/>
        <v>-</v>
      </c>
      <c r="V25" s="24" t="str">
        <f t="shared" si="13"/>
        <v>-</v>
      </c>
      <c r="W25" s="24" t="str">
        <f t="shared" si="14"/>
        <v>-</v>
      </c>
      <c r="X25" s="21" t="str">
        <f t="shared" si="15"/>
        <v>-</v>
      </c>
      <c r="Y25" s="20"/>
      <c r="Z25" s="22" t="str">
        <f t="shared" si="16"/>
        <v>-</v>
      </c>
      <c r="AA25" s="19"/>
      <c r="AB25" s="19"/>
      <c r="AC25" s="21" t="str">
        <f t="shared" si="17"/>
        <v>-</v>
      </c>
      <c r="AD25" s="21">
        <f t="shared" si="18"/>
        <v>0</v>
      </c>
      <c r="AE25" s="25" t="str">
        <f t="shared" si="19"/>
        <v>-</v>
      </c>
      <c r="AF25" s="25" t="str">
        <f t="shared" si="20"/>
        <v>-</v>
      </c>
      <c r="AG25" s="26"/>
    </row>
    <row r="26" ht="15.75" customHeight="1">
      <c r="A26" s="9" t="s">
        <v>65</v>
      </c>
      <c r="B26" s="10"/>
      <c r="C26" s="11"/>
      <c r="D26" s="12" t="str">
        <f t="shared" si="1"/>
        <v>-</v>
      </c>
      <c r="E26" s="11"/>
      <c r="F26" s="13" t="str">
        <f t="shared" si="2"/>
        <v>-</v>
      </c>
      <c r="G26" s="12" t="str">
        <f t="shared" si="3"/>
        <v>-</v>
      </c>
      <c r="H26" s="12" t="str">
        <f t="shared" si="4"/>
        <v>-</v>
      </c>
      <c r="I26" s="11"/>
      <c r="J26" s="13" t="str">
        <f t="shared" si="5"/>
        <v>-</v>
      </c>
      <c r="K26" s="11"/>
      <c r="L26" s="12" t="str">
        <f t="shared" si="6"/>
        <v>-</v>
      </c>
      <c r="M26" s="13" t="str">
        <f t="shared" si="7"/>
        <v>-</v>
      </c>
      <c r="N26" s="11"/>
      <c r="O26" s="11"/>
      <c r="P26" s="13" t="str">
        <f t="shared" si="8"/>
        <v>-</v>
      </c>
      <c r="Q26" s="14">
        <f t="shared" si="9"/>
        <v>0</v>
      </c>
      <c r="R26" s="11"/>
      <c r="S26" s="13" t="str">
        <f t="shared" si="10"/>
        <v>-</v>
      </c>
      <c r="T26" s="14">
        <f t="shared" si="11"/>
        <v>0</v>
      </c>
      <c r="U26" s="13" t="str">
        <f t="shared" si="12"/>
        <v>-</v>
      </c>
      <c r="V26" s="15" t="str">
        <f t="shared" si="13"/>
        <v>-</v>
      </c>
      <c r="W26" s="15" t="str">
        <f t="shared" si="14"/>
        <v>-</v>
      </c>
      <c r="X26" s="12" t="str">
        <f t="shared" si="15"/>
        <v>-</v>
      </c>
      <c r="Y26" s="11"/>
      <c r="Z26" s="13" t="str">
        <f t="shared" si="16"/>
        <v>-</v>
      </c>
      <c r="AA26" s="10"/>
      <c r="AB26" s="10"/>
      <c r="AC26" s="12" t="str">
        <f t="shared" si="17"/>
        <v>-</v>
      </c>
      <c r="AD26" s="12">
        <f t="shared" si="18"/>
        <v>0</v>
      </c>
      <c r="AE26" s="16" t="str">
        <f t="shared" si="19"/>
        <v>-</v>
      </c>
      <c r="AF26" s="16" t="str">
        <f t="shared" si="20"/>
        <v>-</v>
      </c>
      <c r="AG26" s="17"/>
    </row>
    <row r="27" ht="15.75" customHeight="1">
      <c r="A27" s="18" t="s">
        <v>66</v>
      </c>
      <c r="B27" s="19"/>
      <c r="C27" s="20"/>
      <c r="D27" s="21" t="str">
        <f t="shared" si="1"/>
        <v>-</v>
      </c>
      <c r="E27" s="20"/>
      <c r="F27" s="22" t="str">
        <f t="shared" si="2"/>
        <v>-</v>
      </c>
      <c r="G27" s="21" t="str">
        <f t="shared" si="3"/>
        <v>-</v>
      </c>
      <c r="H27" s="21" t="str">
        <f t="shared" si="4"/>
        <v>-</v>
      </c>
      <c r="I27" s="20"/>
      <c r="J27" s="22" t="str">
        <f t="shared" si="5"/>
        <v>-</v>
      </c>
      <c r="K27" s="20"/>
      <c r="L27" s="21" t="str">
        <f t="shared" si="6"/>
        <v>-</v>
      </c>
      <c r="M27" s="22" t="str">
        <f t="shared" si="7"/>
        <v>-</v>
      </c>
      <c r="N27" s="20"/>
      <c r="O27" s="20"/>
      <c r="P27" s="22" t="str">
        <f t="shared" si="8"/>
        <v>-</v>
      </c>
      <c r="Q27" s="23">
        <f t="shared" si="9"/>
        <v>0</v>
      </c>
      <c r="R27" s="20"/>
      <c r="S27" s="22" t="str">
        <f t="shared" si="10"/>
        <v>-</v>
      </c>
      <c r="T27" s="23">
        <f t="shared" si="11"/>
        <v>0</v>
      </c>
      <c r="U27" s="22" t="str">
        <f t="shared" si="12"/>
        <v>-</v>
      </c>
      <c r="V27" s="24" t="str">
        <f t="shared" si="13"/>
        <v>-</v>
      </c>
      <c r="W27" s="24" t="str">
        <f t="shared" si="14"/>
        <v>-</v>
      </c>
      <c r="X27" s="21" t="str">
        <f t="shared" si="15"/>
        <v>-</v>
      </c>
      <c r="Y27" s="20"/>
      <c r="Z27" s="22" t="str">
        <f t="shared" si="16"/>
        <v>-</v>
      </c>
      <c r="AA27" s="19"/>
      <c r="AB27" s="19"/>
      <c r="AC27" s="21" t="str">
        <f t="shared" si="17"/>
        <v>-</v>
      </c>
      <c r="AD27" s="21">
        <f t="shared" si="18"/>
        <v>0</v>
      </c>
      <c r="AE27" s="25" t="str">
        <f t="shared" si="19"/>
        <v>-</v>
      </c>
      <c r="AF27" s="25" t="str">
        <f t="shared" si="20"/>
        <v>-</v>
      </c>
      <c r="AG27" s="26"/>
    </row>
    <row r="28" ht="15.75" customHeight="1">
      <c r="A28" s="9" t="s">
        <v>67</v>
      </c>
      <c r="B28" s="10"/>
      <c r="C28" s="11"/>
      <c r="D28" s="12" t="str">
        <f t="shared" si="1"/>
        <v>-</v>
      </c>
      <c r="E28" s="11"/>
      <c r="F28" s="13" t="str">
        <f t="shared" si="2"/>
        <v>-</v>
      </c>
      <c r="G28" s="12" t="str">
        <f t="shared" si="3"/>
        <v>-</v>
      </c>
      <c r="H28" s="12" t="str">
        <f t="shared" si="4"/>
        <v>-</v>
      </c>
      <c r="I28" s="11"/>
      <c r="J28" s="13" t="str">
        <f t="shared" si="5"/>
        <v>-</v>
      </c>
      <c r="K28" s="11"/>
      <c r="L28" s="12" t="str">
        <f t="shared" si="6"/>
        <v>-</v>
      </c>
      <c r="M28" s="13" t="str">
        <f t="shared" si="7"/>
        <v>-</v>
      </c>
      <c r="N28" s="11"/>
      <c r="O28" s="11"/>
      <c r="P28" s="13" t="str">
        <f t="shared" si="8"/>
        <v>-</v>
      </c>
      <c r="Q28" s="14">
        <f t="shared" si="9"/>
        <v>0</v>
      </c>
      <c r="R28" s="11"/>
      <c r="S28" s="13" t="str">
        <f t="shared" si="10"/>
        <v>-</v>
      </c>
      <c r="T28" s="14">
        <f t="shared" si="11"/>
        <v>0</v>
      </c>
      <c r="U28" s="13" t="str">
        <f t="shared" si="12"/>
        <v>-</v>
      </c>
      <c r="V28" s="15" t="str">
        <f t="shared" si="13"/>
        <v>-</v>
      </c>
      <c r="W28" s="15" t="str">
        <f t="shared" si="14"/>
        <v>-</v>
      </c>
      <c r="X28" s="12" t="str">
        <f t="shared" si="15"/>
        <v>-</v>
      </c>
      <c r="Y28" s="11"/>
      <c r="Z28" s="13" t="str">
        <f t="shared" si="16"/>
        <v>-</v>
      </c>
      <c r="AA28" s="10"/>
      <c r="AB28" s="10"/>
      <c r="AC28" s="12" t="str">
        <f t="shared" si="17"/>
        <v>-</v>
      </c>
      <c r="AD28" s="12">
        <f t="shared" si="18"/>
        <v>0</v>
      </c>
      <c r="AE28" s="16" t="str">
        <f t="shared" si="19"/>
        <v>-</v>
      </c>
      <c r="AF28" s="16" t="str">
        <f t="shared" si="20"/>
        <v>-</v>
      </c>
      <c r="AG28" s="17"/>
    </row>
    <row r="29" ht="15.75" customHeight="1">
      <c r="A29" s="18" t="s">
        <v>68</v>
      </c>
      <c r="B29" s="19"/>
      <c r="C29" s="20"/>
      <c r="D29" s="21" t="str">
        <f t="shared" si="1"/>
        <v>-</v>
      </c>
      <c r="E29" s="20"/>
      <c r="F29" s="22" t="str">
        <f t="shared" si="2"/>
        <v>-</v>
      </c>
      <c r="G29" s="21" t="str">
        <f t="shared" si="3"/>
        <v>-</v>
      </c>
      <c r="H29" s="21" t="str">
        <f t="shared" si="4"/>
        <v>-</v>
      </c>
      <c r="I29" s="20"/>
      <c r="J29" s="22" t="str">
        <f t="shared" si="5"/>
        <v>-</v>
      </c>
      <c r="K29" s="20"/>
      <c r="L29" s="21" t="str">
        <f t="shared" si="6"/>
        <v>-</v>
      </c>
      <c r="M29" s="22" t="str">
        <f t="shared" si="7"/>
        <v>-</v>
      </c>
      <c r="N29" s="20"/>
      <c r="O29" s="20"/>
      <c r="P29" s="22" t="str">
        <f t="shared" si="8"/>
        <v>-</v>
      </c>
      <c r="Q29" s="23">
        <f t="shared" si="9"/>
        <v>0</v>
      </c>
      <c r="R29" s="20"/>
      <c r="S29" s="22" t="str">
        <f t="shared" si="10"/>
        <v>-</v>
      </c>
      <c r="T29" s="23">
        <f t="shared" si="11"/>
        <v>0</v>
      </c>
      <c r="U29" s="22" t="str">
        <f t="shared" si="12"/>
        <v>-</v>
      </c>
      <c r="V29" s="24" t="str">
        <f t="shared" si="13"/>
        <v>-</v>
      </c>
      <c r="W29" s="24" t="str">
        <f t="shared" si="14"/>
        <v>-</v>
      </c>
      <c r="X29" s="21" t="str">
        <f t="shared" si="15"/>
        <v>-</v>
      </c>
      <c r="Y29" s="20"/>
      <c r="Z29" s="22" t="str">
        <f t="shared" si="16"/>
        <v>-</v>
      </c>
      <c r="AA29" s="19"/>
      <c r="AB29" s="19"/>
      <c r="AC29" s="21" t="str">
        <f t="shared" si="17"/>
        <v>-</v>
      </c>
      <c r="AD29" s="21">
        <f t="shared" si="18"/>
        <v>0</v>
      </c>
      <c r="AE29" s="25" t="str">
        <f t="shared" si="19"/>
        <v>-</v>
      </c>
      <c r="AF29" s="25" t="str">
        <f t="shared" si="20"/>
        <v>-</v>
      </c>
      <c r="AG29" s="26"/>
    </row>
    <row r="30" ht="15.75" customHeight="1">
      <c r="A30" s="9" t="s">
        <v>69</v>
      </c>
      <c r="B30" s="10"/>
      <c r="C30" s="11"/>
      <c r="D30" s="12" t="str">
        <f t="shared" si="1"/>
        <v>-</v>
      </c>
      <c r="E30" s="11"/>
      <c r="F30" s="13" t="str">
        <f t="shared" si="2"/>
        <v>-</v>
      </c>
      <c r="G30" s="12" t="str">
        <f t="shared" si="3"/>
        <v>-</v>
      </c>
      <c r="H30" s="12" t="str">
        <f t="shared" si="4"/>
        <v>-</v>
      </c>
      <c r="I30" s="11"/>
      <c r="J30" s="13" t="str">
        <f t="shared" si="5"/>
        <v>-</v>
      </c>
      <c r="K30" s="11"/>
      <c r="L30" s="12" t="str">
        <f t="shared" si="6"/>
        <v>-</v>
      </c>
      <c r="M30" s="13" t="str">
        <f t="shared" si="7"/>
        <v>-</v>
      </c>
      <c r="N30" s="11"/>
      <c r="O30" s="11"/>
      <c r="P30" s="13" t="str">
        <f t="shared" si="8"/>
        <v>-</v>
      </c>
      <c r="Q30" s="14">
        <f t="shared" si="9"/>
        <v>0</v>
      </c>
      <c r="R30" s="11"/>
      <c r="S30" s="13" t="str">
        <f t="shared" si="10"/>
        <v>-</v>
      </c>
      <c r="T30" s="14">
        <f t="shared" si="11"/>
        <v>0</v>
      </c>
      <c r="U30" s="13" t="str">
        <f t="shared" si="12"/>
        <v>-</v>
      </c>
      <c r="V30" s="15" t="str">
        <f t="shared" si="13"/>
        <v>-</v>
      </c>
      <c r="W30" s="15" t="str">
        <f t="shared" si="14"/>
        <v>-</v>
      </c>
      <c r="X30" s="12" t="str">
        <f t="shared" si="15"/>
        <v>-</v>
      </c>
      <c r="Y30" s="11"/>
      <c r="Z30" s="13" t="str">
        <f t="shared" si="16"/>
        <v>-</v>
      </c>
      <c r="AA30" s="10"/>
      <c r="AB30" s="10"/>
      <c r="AC30" s="12" t="str">
        <f t="shared" si="17"/>
        <v>-</v>
      </c>
      <c r="AD30" s="12">
        <f t="shared" si="18"/>
        <v>0</v>
      </c>
      <c r="AE30" s="16" t="str">
        <f t="shared" si="19"/>
        <v>-</v>
      </c>
      <c r="AF30" s="16" t="str">
        <f t="shared" si="20"/>
        <v>-</v>
      </c>
      <c r="AG30" s="17"/>
    </row>
    <row r="31" ht="15.75" customHeight="1">
      <c r="A31" s="18" t="s">
        <v>70</v>
      </c>
      <c r="B31" s="19"/>
      <c r="C31" s="20"/>
      <c r="D31" s="21" t="str">
        <f t="shared" si="1"/>
        <v>-</v>
      </c>
      <c r="E31" s="20"/>
      <c r="F31" s="22" t="str">
        <f t="shared" si="2"/>
        <v>-</v>
      </c>
      <c r="G31" s="21" t="str">
        <f t="shared" si="3"/>
        <v>-</v>
      </c>
      <c r="H31" s="21" t="str">
        <f t="shared" si="4"/>
        <v>-</v>
      </c>
      <c r="I31" s="20"/>
      <c r="J31" s="22" t="str">
        <f t="shared" si="5"/>
        <v>-</v>
      </c>
      <c r="K31" s="20"/>
      <c r="L31" s="21" t="str">
        <f t="shared" si="6"/>
        <v>-</v>
      </c>
      <c r="M31" s="22" t="str">
        <f t="shared" si="7"/>
        <v>-</v>
      </c>
      <c r="N31" s="20"/>
      <c r="O31" s="20"/>
      <c r="P31" s="22" t="str">
        <f t="shared" si="8"/>
        <v>-</v>
      </c>
      <c r="Q31" s="23">
        <f t="shared" si="9"/>
        <v>0</v>
      </c>
      <c r="R31" s="20"/>
      <c r="S31" s="22" t="str">
        <f t="shared" si="10"/>
        <v>-</v>
      </c>
      <c r="T31" s="23">
        <f t="shared" si="11"/>
        <v>0</v>
      </c>
      <c r="U31" s="22" t="str">
        <f t="shared" si="12"/>
        <v>-</v>
      </c>
      <c r="V31" s="24" t="str">
        <f t="shared" si="13"/>
        <v>-</v>
      </c>
      <c r="W31" s="24" t="str">
        <f t="shared" si="14"/>
        <v>-</v>
      </c>
      <c r="X31" s="21" t="str">
        <f t="shared" si="15"/>
        <v>-</v>
      </c>
      <c r="Y31" s="20"/>
      <c r="Z31" s="22" t="str">
        <f t="shared" si="16"/>
        <v>-</v>
      </c>
      <c r="AA31" s="19"/>
      <c r="AB31" s="19"/>
      <c r="AC31" s="21" t="str">
        <f t="shared" si="17"/>
        <v>-</v>
      </c>
      <c r="AD31" s="21">
        <f t="shared" si="18"/>
        <v>0</v>
      </c>
      <c r="AE31" s="25" t="str">
        <f t="shared" si="19"/>
        <v>-</v>
      </c>
      <c r="AF31" s="25" t="str">
        <f t="shared" si="20"/>
        <v>-</v>
      </c>
      <c r="AG31" s="26"/>
    </row>
    <row r="32" ht="15.75" customHeight="1">
      <c r="A32" s="27" t="s">
        <v>71</v>
      </c>
      <c r="B32" s="28">
        <f t="shared" ref="B32:C32" si="21">SUM(B4:B31)</f>
        <v>0</v>
      </c>
      <c r="C32" s="29">
        <f t="shared" si="21"/>
        <v>0</v>
      </c>
      <c r="D32" s="28" t="str">
        <f t="shared" si="1"/>
        <v>-</v>
      </c>
      <c r="E32" s="29">
        <f>SUM(E4:E31)</f>
        <v>0</v>
      </c>
      <c r="F32" s="30" t="str">
        <f t="shared" si="2"/>
        <v>-</v>
      </c>
      <c r="G32" s="28" t="str">
        <f t="shared" si="3"/>
        <v>-</v>
      </c>
      <c r="H32" s="28" t="str">
        <f t="shared" si="4"/>
        <v>-</v>
      </c>
      <c r="I32" s="29">
        <f>SUM(I4:I31)</f>
        <v>0</v>
      </c>
      <c r="J32" s="30" t="str">
        <f t="shared" si="5"/>
        <v>-</v>
      </c>
      <c r="K32" s="29">
        <f>SUM(K4:K31)</f>
        <v>0</v>
      </c>
      <c r="L32" s="28" t="str">
        <f t="shared" si="6"/>
        <v>-</v>
      </c>
      <c r="M32" s="30" t="str">
        <f t="shared" si="7"/>
        <v>-</v>
      </c>
      <c r="N32" s="29">
        <f t="shared" ref="N32:O32" si="22">SUM(N4:N31)</f>
        <v>0</v>
      </c>
      <c r="O32" s="29">
        <f t="shared" si="22"/>
        <v>0</v>
      </c>
      <c r="P32" s="30" t="str">
        <f t="shared" si="8"/>
        <v>-</v>
      </c>
      <c r="Q32" s="29">
        <f>K32-O32</f>
        <v>0</v>
      </c>
      <c r="R32" s="29">
        <f>SUM(R4:R31)</f>
        <v>0</v>
      </c>
      <c r="S32" s="30" t="str">
        <f>IF(Q32=0,"-",R32/Q32)</f>
        <v>-</v>
      </c>
      <c r="T32" s="29">
        <f>SUM(T4:T31)</f>
        <v>0</v>
      </c>
      <c r="U32" s="30" t="str">
        <f t="shared" si="12"/>
        <v>-</v>
      </c>
      <c r="V32" s="28" t="str">
        <f t="shared" si="13"/>
        <v>-</v>
      </c>
      <c r="W32" s="28" t="str">
        <f t="shared" si="14"/>
        <v>-</v>
      </c>
      <c r="X32" s="28" t="str">
        <f t="shared" si="15"/>
        <v>-</v>
      </c>
      <c r="Y32" s="29">
        <f>SUM(Y4:Y31)</f>
        <v>0</v>
      </c>
      <c r="Z32" s="30" t="str">
        <f t="shared" si="16"/>
        <v>-</v>
      </c>
      <c r="AA32" s="28">
        <f t="shared" ref="AA32:AB32" si="23">SUM(AA4:AA31)</f>
        <v>0</v>
      </c>
      <c r="AB32" s="28">
        <f t="shared" si="23"/>
        <v>0</v>
      </c>
      <c r="AC32" s="28" t="str">
        <f t="shared" si="17"/>
        <v>-</v>
      </c>
      <c r="AD32" s="28">
        <f t="shared" si="18"/>
        <v>0</v>
      </c>
      <c r="AE32" s="30" t="str">
        <f t="shared" si="19"/>
        <v>-</v>
      </c>
      <c r="AF32" s="30" t="str">
        <f t="shared" si="20"/>
        <v>-</v>
      </c>
      <c r="AG32" s="3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Y2:AD2"/>
    <mergeCell ref="AE2:AF2"/>
    <mergeCell ref="A1:AG1"/>
    <mergeCell ref="B2:F2"/>
    <mergeCell ref="G2:H2"/>
    <mergeCell ref="I2:K2"/>
    <mergeCell ref="L2:N2"/>
    <mergeCell ref="O2:U2"/>
    <mergeCell ref="V2:X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26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5.0"/>
    <col customWidth="1" min="2" max="2" width="20.0"/>
    <col customWidth="1" min="3" max="3" width="14.0"/>
    <col customWidth="1" min="4" max="4" width="12.0"/>
    <col customWidth="1" min="5" max="5" width="14.0"/>
    <col customWidth="1" min="6" max="6" width="13.0"/>
    <col customWidth="1" min="7" max="11" width="10.0"/>
    <col customWidth="1" min="12" max="12" width="15.0"/>
    <col customWidth="1" min="13" max="14" width="10.0"/>
    <col customWidth="1" min="15" max="15" width="13.0"/>
    <col customWidth="1" min="16" max="16" width="14.0"/>
    <col customWidth="1" min="17" max="17" width="12.0"/>
    <col customWidth="1" min="18" max="18" width="14.0"/>
    <col customWidth="1" min="19" max="20" width="10.0"/>
    <col customWidth="1" min="21" max="21" width="12.0"/>
    <col customWidth="1" min="22" max="22" width="10.0"/>
    <col customWidth="1" min="23" max="23" width="11.0"/>
    <col customWidth="1" min="24" max="24" width="25.0"/>
    <col customWidth="1" min="25" max="26" width="8.71"/>
  </cols>
  <sheetData>
    <row r="1" ht="17.25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26.25" customHeight="1">
      <c r="A2" s="8" t="s">
        <v>73</v>
      </c>
      <c r="B2" s="8" t="s">
        <v>74</v>
      </c>
      <c r="C2" s="8" t="s">
        <v>75</v>
      </c>
      <c r="D2" s="8" t="s">
        <v>76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18</v>
      </c>
      <c r="L2" s="8" t="s">
        <v>17</v>
      </c>
      <c r="M2" s="8" t="s">
        <v>77</v>
      </c>
      <c r="N2" s="8" t="s">
        <v>21</v>
      </c>
      <c r="O2" s="8" t="s">
        <v>78</v>
      </c>
      <c r="P2" s="8" t="s">
        <v>27</v>
      </c>
      <c r="Q2" s="8" t="s">
        <v>29</v>
      </c>
      <c r="R2" s="8" t="s">
        <v>79</v>
      </c>
      <c r="S2" s="8" t="s">
        <v>80</v>
      </c>
      <c r="T2" s="8" t="s">
        <v>38</v>
      </c>
      <c r="U2" s="8" t="s">
        <v>81</v>
      </c>
      <c r="V2" s="8" t="s">
        <v>82</v>
      </c>
      <c r="W2" s="8" t="s">
        <v>83</v>
      </c>
      <c r="X2" s="8" t="s">
        <v>84</v>
      </c>
    </row>
    <row r="3" ht="15.0" customHeight="1">
      <c r="A3" s="32"/>
      <c r="B3" s="32"/>
      <c r="C3" s="32"/>
      <c r="D3" s="32"/>
      <c r="E3" s="19"/>
      <c r="F3" s="20"/>
      <c r="G3" s="21" t="str">
        <f t="shared" ref="G3:G22" si="1">IF(F3=0,"-",E3/F3*1000)</f>
        <v>-</v>
      </c>
      <c r="H3" s="20"/>
      <c r="I3" s="22" t="str">
        <f t="shared" ref="I3:I22" si="2">IF(F3=0,"-",H3/F3)</f>
        <v>-</v>
      </c>
      <c r="J3" s="21" t="str">
        <f t="shared" ref="J3:J22" si="3">IF(H3=0,"-",E3/H3)</f>
        <v>-</v>
      </c>
      <c r="K3" s="20"/>
      <c r="L3" s="21" t="str">
        <f t="shared" ref="L3:L22" si="4">IF(K3=0,"-",E3/K3)</f>
        <v>-</v>
      </c>
      <c r="M3" s="20"/>
      <c r="N3" s="21" t="str">
        <f t="shared" ref="N3:N22" si="5">IF(M3=0,"-",E3/M3)</f>
        <v>-</v>
      </c>
      <c r="O3" s="20"/>
      <c r="P3" s="20"/>
      <c r="Q3" s="23">
        <f t="shared" ref="Q3:Q22" si="6">O3+P3</f>
        <v>0</v>
      </c>
      <c r="R3" s="21" t="str">
        <f t="shared" ref="R3:R22" si="7">IF(Q3=0,"-",E3/Q3)</f>
        <v>-</v>
      </c>
      <c r="S3" s="20"/>
      <c r="T3" s="21" t="str">
        <f t="shared" ref="T3:T22" si="8">IF(S3=0,"-",E3/S3)</f>
        <v>-</v>
      </c>
      <c r="U3" s="21"/>
      <c r="V3" s="22" t="str">
        <f t="shared" ref="V3:V22" si="9">IF(E3=0,"-",(U3-E3)/E3)</f>
        <v>-</v>
      </c>
      <c r="W3" s="32"/>
      <c r="X3" s="26"/>
    </row>
    <row r="4" ht="15.0" customHeight="1">
      <c r="A4" s="33"/>
      <c r="B4" s="33"/>
      <c r="C4" s="33"/>
      <c r="D4" s="33"/>
      <c r="E4" s="10"/>
      <c r="F4" s="11"/>
      <c r="G4" s="12" t="str">
        <f t="shared" si="1"/>
        <v>-</v>
      </c>
      <c r="H4" s="11"/>
      <c r="I4" s="13" t="str">
        <f t="shared" si="2"/>
        <v>-</v>
      </c>
      <c r="J4" s="12" t="str">
        <f t="shared" si="3"/>
        <v>-</v>
      </c>
      <c r="K4" s="11"/>
      <c r="L4" s="12" t="str">
        <f t="shared" si="4"/>
        <v>-</v>
      </c>
      <c r="M4" s="11"/>
      <c r="N4" s="12" t="str">
        <f t="shared" si="5"/>
        <v>-</v>
      </c>
      <c r="O4" s="11"/>
      <c r="P4" s="11"/>
      <c r="Q4" s="14">
        <f t="shared" si="6"/>
        <v>0</v>
      </c>
      <c r="R4" s="12" t="str">
        <f t="shared" si="7"/>
        <v>-</v>
      </c>
      <c r="S4" s="11"/>
      <c r="T4" s="12" t="str">
        <f t="shared" si="8"/>
        <v>-</v>
      </c>
      <c r="U4" s="12"/>
      <c r="V4" s="13" t="str">
        <f t="shared" si="9"/>
        <v>-</v>
      </c>
      <c r="W4" s="33"/>
      <c r="X4" s="17"/>
    </row>
    <row r="5" ht="15.0" customHeight="1">
      <c r="A5" s="32"/>
      <c r="B5" s="32"/>
      <c r="C5" s="32"/>
      <c r="D5" s="32"/>
      <c r="E5" s="19"/>
      <c r="F5" s="20"/>
      <c r="G5" s="21" t="str">
        <f t="shared" si="1"/>
        <v>-</v>
      </c>
      <c r="H5" s="20"/>
      <c r="I5" s="22" t="str">
        <f t="shared" si="2"/>
        <v>-</v>
      </c>
      <c r="J5" s="21" t="str">
        <f t="shared" si="3"/>
        <v>-</v>
      </c>
      <c r="K5" s="20"/>
      <c r="L5" s="21" t="str">
        <f t="shared" si="4"/>
        <v>-</v>
      </c>
      <c r="M5" s="20"/>
      <c r="N5" s="21" t="str">
        <f t="shared" si="5"/>
        <v>-</v>
      </c>
      <c r="O5" s="20"/>
      <c r="P5" s="20"/>
      <c r="Q5" s="23">
        <f t="shared" si="6"/>
        <v>0</v>
      </c>
      <c r="R5" s="21" t="str">
        <f t="shared" si="7"/>
        <v>-</v>
      </c>
      <c r="S5" s="20"/>
      <c r="T5" s="21" t="str">
        <f t="shared" si="8"/>
        <v>-</v>
      </c>
      <c r="U5" s="21"/>
      <c r="V5" s="22" t="str">
        <f t="shared" si="9"/>
        <v>-</v>
      </c>
      <c r="W5" s="32"/>
      <c r="X5" s="26"/>
    </row>
    <row r="6" ht="15.0" customHeight="1">
      <c r="A6" s="33"/>
      <c r="B6" s="33"/>
      <c r="C6" s="33"/>
      <c r="D6" s="33"/>
      <c r="E6" s="10"/>
      <c r="F6" s="11"/>
      <c r="G6" s="12" t="str">
        <f t="shared" si="1"/>
        <v>-</v>
      </c>
      <c r="H6" s="11"/>
      <c r="I6" s="13" t="str">
        <f t="shared" si="2"/>
        <v>-</v>
      </c>
      <c r="J6" s="12" t="str">
        <f t="shared" si="3"/>
        <v>-</v>
      </c>
      <c r="K6" s="11"/>
      <c r="L6" s="12" t="str">
        <f t="shared" si="4"/>
        <v>-</v>
      </c>
      <c r="M6" s="11"/>
      <c r="N6" s="12" t="str">
        <f t="shared" si="5"/>
        <v>-</v>
      </c>
      <c r="O6" s="11"/>
      <c r="P6" s="11"/>
      <c r="Q6" s="14">
        <f t="shared" si="6"/>
        <v>0</v>
      </c>
      <c r="R6" s="12" t="str">
        <f t="shared" si="7"/>
        <v>-</v>
      </c>
      <c r="S6" s="11"/>
      <c r="T6" s="12" t="str">
        <f t="shared" si="8"/>
        <v>-</v>
      </c>
      <c r="U6" s="12"/>
      <c r="V6" s="13" t="str">
        <f t="shared" si="9"/>
        <v>-</v>
      </c>
      <c r="W6" s="33"/>
      <c r="X6" s="17"/>
    </row>
    <row r="7" ht="15.0" customHeight="1">
      <c r="A7" s="32"/>
      <c r="B7" s="32"/>
      <c r="C7" s="32"/>
      <c r="D7" s="32"/>
      <c r="E7" s="19"/>
      <c r="F7" s="20"/>
      <c r="G7" s="21" t="str">
        <f t="shared" si="1"/>
        <v>-</v>
      </c>
      <c r="H7" s="20"/>
      <c r="I7" s="22" t="str">
        <f t="shared" si="2"/>
        <v>-</v>
      </c>
      <c r="J7" s="21" t="str">
        <f t="shared" si="3"/>
        <v>-</v>
      </c>
      <c r="K7" s="20"/>
      <c r="L7" s="21" t="str">
        <f t="shared" si="4"/>
        <v>-</v>
      </c>
      <c r="M7" s="20"/>
      <c r="N7" s="21" t="str">
        <f t="shared" si="5"/>
        <v>-</v>
      </c>
      <c r="O7" s="20"/>
      <c r="P7" s="20"/>
      <c r="Q7" s="23">
        <f t="shared" si="6"/>
        <v>0</v>
      </c>
      <c r="R7" s="21" t="str">
        <f t="shared" si="7"/>
        <v>-</v>
      </c>
      <c r="S7" s="20"/>
      <c r="T7" s="21" t="str">
        <f t="shared" si="8"/>
        <v>-</v>
      </c>
      <c r="U7" s="21"/>
      <c r="V7" s="22" t="str">
        <f t="shared" si="9"/>
        <v>-</v>
      </c>
      <c r="W7" s="32"/>
      <c r="X7" s="26"/>
    </row>
    <row r="8" ht="15.0" customHeight="1">
      <c r="A8" s="33"/>
      <c r="B8" s="33"/>
      <c r="C8" s="33"/>
      <c r="D8" s="33"/>
      <c r="E8" s="10"/>
      <c r="F8" s="11"/>
      <c r="G8" s="12" t="str">
        <f t="shared" si="1"/>
        <v>-</v>
      </c>
      <c r="H8" s="11"/>
      <c r="I8" s="13" t="str">
        <f t="shared" si="2"/>
        <v>-</v>
      </c>
      <c r="J8" s="12" t="str">
        <f t="shared" si="3"/>
        <v>-</v>
      </c>
      <c r="K8" s="11"/>
      <c r="L8" s="12" t="str">
        <f t="shared" si="4"/>
        <v>-</v>
      </c>
      <c r="M8" s="11"/>
      <c r="N8" s="12" t="str">
        <f t="shared" si="5"/>
        <v>-</v>
      </c>
      <c r="O8" s="11"/>
      <c r="P8" s="11"/>
      <c r="Q8" s="14">
        <f t="shared" si="6"/>
        <v>0</v>
      </c>
      <c r="R8" s="12" t="str">
        <f t="shared" si="7"/>
        <v>-</v>
      </c>
      <c r="S8" s="11"/>
      <c r="T8" s="12" t="str">
        <f t="shared" si="8"/>
        <v>-</v>
      </c>
      <c r="U8" s="12"/>
      <c r="V8" s="13" t="str">
        <f t="shared" si="9"/>
        <v>-</v>
      </c>
      <c r="W8" s="33"/>
      <c r="X8" s="17"/>
    </row>
    <row r="9" ht="15.0" customHeight="1">
      <c r="A9" s="32"/>
      <c r="B9" s="32"/>
      <c r="C9" s="32"/>
      <c r="D9" s="32"/>
      <c r="E9" s="19"/>
      <c r="F9" s="20"/>
      <c r="G9" s="21" t="str">
        <f t="shared" si="1"/>
        <v>-</v>
      </c>
      <c r="H9" s="20"/>
      <c r="I9" s="22" t="str">
        <f t="shared" si="2"/>
        <v>-</v>
      </c>
      <c r="J9" s="21" t="str">
        <f t="shared" si="3"/>
        <v>-</v>
      </c>
      <c r="K9" s="20"/>
      <c r="L9" s="21" t="str">
        <f t="shared" si="4"/>
        <v>-</v>
      </c>
      <c r="M9" s="20"/>
      <c r="N9" s="21" t="str">
        <f t="shared" si="5"/>
        <v>-</v>
      </c>
      <c r="O9" s="20"/>
      <c r="P9" s="20"/>
      <c r="Q9" s="23">
        <f t="shared" si="6"/>
        <v>0</v>
      </c>
      <c r="R9" s="21" t="str">
        <f t="shared" si="7"/>
        <v>-</v>
      </c>
      <c r="S9" s="20"/>
      <c r="T9" s="21" t="str">
        <f t="shared" si="8"/>
        <v>-</v>
      </c>
      <c r="U9" s="21"/>
      <c r="V9" s="22" t="str">
        <f t="shared" si="9"/>
        <v>-</v>
      </c>
      <c r="W9" s="32"/>
      <c r="X9" s="26"/>
    </row>
    <row r="10" ht="15.0" customHeight="1">
      <c r="A10" s="33"/>
      <c r="B10" s="33"/>
      <c r="C10" s="33"/>
      <c r="D10" s="33"/>
      <c r="E10" s="10"/>
      <c r="F10" s="11"/>
      <c r="G10" s="12" t="str">
        <f t="shared" si="1"/>
        <v>-</v>
      </c>
      <c r="H10" s="11"/>
      <c r="I10" s="13" t="str">
        <f t="shared" si="2"/>
        <v>-</v>
      </c>
      <c r="J10" s="12" t="str">
        <f t="shared" si="3"/>
        <v>-</v>
      </c>
      <c r="K10" s="11"/>
      <c r="L10" s="12" t="str">
        <f t="shared" si="4"/>
        <v>-</v>
      </c>
      <c r="M10" s="11"/>
      <c r="N10" s="12" t="str">
        <f t="shared" si="5"/>
        <v>-</v>
      </c>
      <c r="O10" s="11"/>
      <c r="P10" s="11"/>
      <c r="Q10" s="14">
        <f t="shared" si="6"/>
        <v>0</v>
      </c>
      <c r="R10" s="12" t="str">
        <f t="shared" si="7"/>
        <v>-</v>
      </c>
      <c r="S10" s="11"/>
      <c r="T10" s="12" t="str">
        <f t="shared" si="8"/>
        <v>-</v>
      </c>
      <c r="U10" s="12"/>
      <c r="V10" s="13" t="str">
        <f t="shared" si="9"/>
        <v>-</v>
      </c>
      <c r="W10" s="33"/>
      <c r="X10" s="17"/>
    </row>
    <row r="11" ht="15.0" customHeight="1">
      <c r="A11" s="32"/>
      <c r="B11" s="32"/>
      <c r="C11" s="32"/>
      <c r="D11" s="32"/>
      <c r="E11" s="19"/>
      <c r="F11" s="20"/>
      <c r="G11" s="21" t="str">
        <f t="shared" si="1"/>
        <v>-</v>
      </c>
      <c r="H11" s="20"/>
      <c r="I11" s="22" t="str">
        <f t="shared" si="2"/>
        <v>-</v>
      </c>
      <c r="J11" s="21" t="str">
        <f t="shared" si="3"/>
        <v>-</v>
      </c>
      <c r="K11" s="20"/>
      <c r="L11" s="21" t="str">
        <f t="shared" si="4"/>
        <v>-</v>
      </c>
      <c r="M11" s="20"/>
      <c r="N11" s="21" t="str">
        <f t="shared" si="5"/>
        <v>-</v>
      </c>
      <c r="O11" s="20"/>
      <c r="P11" s="20"/>
      <c r="Q11" s="23">
        <f t="shared" si="6"/>
        <v>0</v>
      </c>
      <c r="R11" s="21" t="str">
        <f t="shared" si="7"/>
        <v>-</v>
      </c>
      <c r="S11" s="20"/>
      <c r="T11" s="21" t="str">
        <f t="shared" si="8"/>
        <v>-</v>
      </c>
      <c r="U11" s="21"/>
      <c r="V11" s="22" t="str">
        <f t="shared" si="9"/>
        <v>-</v>
      </c>
      <c r="W11" s="32"/>
      <c r="X11" s="26"/>
    </row>
    <row r="12" ht="15.0" customHeight="1">
      <c r="A12" s="33"/>
      <c r="B12" s="33"/>
      <c r="C12" s="33"/>
      <c r="D12" s="33"/>
      <c r="E12" s="10"/>
      <c r="F12" s="11"/>
      <c r="G12" s="12" t="str">
        <f t="shared" si="1"/>
        <v>-</v>
      </c>
      <c r="H12" s="11"/>
      <c r="I12" s="13" t="str">
        <f t="shared" si="2"/>
        <v>-</v>
      </c>
      <c r="J12" s="12" t="str">
        <f t="shared" si="3"/>
        <v>-</v>
      </c>
      <c r="K12" s="11"/>
      <c r="L12" s="12" t="str">
        <f t="shared" si="4"/>
        <v>-</v>
      </c>
      <c r="M12" s="11"/>
      <c r="N12" s="12" t="str">
        <f t="shared" si="5"/>
        <v>-</v>
      </c>
      <c r="O12" s="11"/>
      <c r="P12" s="11"/>
      <c r="Q12" s="14">
        <f t="shared" si="6"/>
        <v>0</v>
      </c>
      <c r="R12" s="12" t="str">
        <f t="shared" si="7"/>
        <v>-</v>
      </c>
      <c r="S12" s="11"/>
      <c r="T12" s="12" t="str">
        <f t="shared" si="8"/>
        <v>-</v>
      </c>
      <c r="U12" s="12"/>
      <c r="V12" s="13" t="str">
        <f t="shared" si="9"/>
        <v>-</v>
      </c>
      <c r="W12" s="33"/>
      <c r="X12" s="17"/>
    </row>
    <row r="13" ht="15.0" customHeight="1">
      <c r="A13" s="32"/>
      <c r="B13" s="32"/>
      <c r="C13" s="32"/>
      <c r="D13" s="32"/>
      <c r="E13" s="19"/>
      <c r="F13" s="20"/>
      <c r="G13" s="21" t="str">
        <f t="shared" si="1"/>
        <v>-</v>
      </c>
      <c r="H13" s="20"/>
      <c r="I13" s="22" t="str">
        <f t="shared" si="2"/>
        <v>-</v>
      </c>
      <c r="J13" s="21" t="str">
        <f t="shared" si="3"/>
        <v>-</v>
      </c>
      <c r="K13" s="20"/>
      <c r="L13" s="21" t="str">
        <f t="shared" si="4"/>
        <v>-</v>
      </c>
      <c r="M13" s="20"/>
      <c r="N13" s="21" t="str">
        <f t="shared" si="5"/>
        <v>-</v>
      </c>
      <c r="O13" s="20"/>
      <c r="P13" s="20"/>
      <c r="Q13" s="23">
        <f t="shared" si="6"/>
        <v>0</v>
      </c>
      <c r="R13" s="21" t="str">
        <f t="shared" si="7"/>
        <v>-</v>
      </c>
      <c r="S13" s="20"/>
      <c r="T13" s="21" t="str">
        <f t="shared" si="8"/>
        <v>-</v>
      </c>
      <c r="U13" s="21"/>
      <c r="V13" s="22" t="str">
        <f t="shared" si="9"/>
        <v>-</v>
      </c>
      <c r="W13" s="32"/>
      <c r="X13" s="26"/>
    </row>
    <row r="14" ht="15.0" customHeight="1">
      <c r="A14" s="33"/>
      <c r="B14" s="33"/>
      <c r="C14" s="33"/>
      <c r="D14" s="33"/>
      <c r="E14" s="10"/>
      <c r="F14" s="11"/>
      <c r="G14" s="12" t="str">
        <f t="shared" si="1"/>
        <v>-</v>
      </c>
      <c r="H14" s="11"/>
      <c r="I14" s="13" t="str">
        <f t="shared" si="2"/>
        <v>-</v>
      </c>
      <c r="J14" s="12" t="str">
        <f t="shared" si="3"/>
        <v>-</v>
      </c>
      <c r="K14" s="11"/>
      <c r="L14" s="12" t="str">
        <f t="shared" si="4"/>
        <v>-</v>
      </c>
      <c r="M14" s="11"/>
      <c r="N14" s="12" t="str">
        <f t="shared" si="5"/>
        <v>-</v>
      </c>
      <c r="O14" s="11"/>
      <c r="P14" s="11"/>
      <c r="Q14" s="14">
        <f t="shared" si="6"/>
        <v>0</v>
      </c>
      <c r="R14" s="12" t="str">
        <f t="shared" si="7"/>
        <v>-</v>
      </c>
      <c r="S14" s="11"/>
      <c r="T14" s="12" t="str">
        <f t="shared" si="8"/>
        <v>-</v>
      </c>
      <c r="U14" s="12"/>
      <c r="V14" s="13" t="str">
        <f t="shared" si="9"/>
        <v>-</v>
      </c>
      <c r="W14" s="33"/>
      <c r="X14" s="17"/>
    </row>
    <row r="15" ht="15.0" customHeight="1">
      <c r="A15" s="32"/>
      <c r="B15" s="32"/>
      <c r="C15" s="32"/>
      <c r="D15" s="32"/>
      <c r="E15" s="19"/>
      <c r="F15" s="20"/>
      <c r="G15" s="21" t="str">
        <f t="shared" si="1"/>
        <v>-</v>
      </c>
      <c r="H15" s="20"/>
      <c r="I15" s="22" t="str">
        <f t="shared" si="2"/>
        <v>-</v>
      </c>
      <c r="J15" s="21" t="str">
        <f t="shared" si="3"/>
        <v>-</v>
      </c>
      <c r="K15" s="20"/>
      <c r="L15" s="21" t="str">
        <f t="shared" si="4"/>
        <v>-</v>
      </c>
      <c r="M15" s="20"/>
      <c r="N15" s="21" t="str">
        <f t="shared" si="5"/>
        <v>-</v>
      </c>
      <c r="O15" s="20"/>
      <c r="P15" s="20"/>
      <c r="Q15" s="23">
        <f t="shared" si="6"/>
        <v>0</v>
      </c>
      <c r="R15" s="21" t="str">
        <f t="shared" si="7"/>
        <v>-</v>
      </c>
      <c r="S15" s="20"/>
      <c r="T15" s="21" t="str">
        <f t="shared" si="8"/>
        <v>-</v>
      </c>
      <c r="U15" s="21"/>
      <c r="V15" s="22" t="str">
        <f t="shared" si="9"/>
        <v>-</v>
      </c>
      <c r="W15" s="32"/>
      <c r="X15" s="26"/>
    </row>
    <row r="16" ht="15.0" customHeight="1">
      <c r="A16" s="33"/>
      <c r="B16" s="33"/>
      <c r="C16" s="33"/>
      <c r="D16" s="33"/>
      <c r="E16" s="10"/>
      <c r="F16" s="11"/>
      <c r="G16" s="12" t="str">
        <f t="shared" si="1"/>
        <v>-</v>
      </c>
      <c r="H16" s="11"/>
      <c r="I16" s="13" t="str">
        <f t="shared" si="2"/>
        <v>-</v>
      </c>
      <c r="J16" s="12" t="str">
        <f t="shared" si="3"/>
        <v>-</v>
      </c>
      <c r="K16" s="11"/>
      <c r="L16" s="12" t="str">
        <f t="shared" si="4"/>
        <v>-</v>
      </c>
      <c r="M16" s="11"/>
      <c r="N16" s="12" t="str">
        <f t="shared" si="5"/>
        <v>-</v>
      </c>
      <c r="O16" s="11"/>
      <c r="P16" s="11"/>
      <c r="Q16" s="14">
        <f t="shared" si="6"/>
        <v>0</v>
      </c>
      <c r="R16" s="12" t="str">
        <f t="shared" si="7"/>
        <v>-</v>
      </c>
      <c r="S16" s="11"/>
      <c r="T16" s="12" t="str">
        <f t="shared" si="8"/>
        <v>-</v>
      </c>
      <c r="U16" s="12"/>
      <c r="V16" s="13" t="str">
        <f t="shared" si="9"/>
        <v>-</v>
      </c>
      <c r="W16" s="33"/>
      <c r="X16" s="17"/>
    </row>
    <row r="17" ht="15.0" customHeight="1">
      <c r="A17" s="32"/>
      <c r="B17" s="32"/>
      <c r="C17" s="32"/>
      <c r="D17" s="32"/>
      <c r="E17" s="19"/>
      <c r="F17" s="20"/>
      <c r="G17" s="21" t="str">
        <f t="shared" si="1"/>
        <v>-</v>
      </c>
      <c r="H17" s="20"/>
      <c r="I17" s="22" t="str">
        <f t="shared" si="2"/>
        <v>-</v>
      </c>
      <c r="J17" s="21" t="str">
        <f t="shared" si="3"/>
        <v>-</v>
      </c>
      <c r="K17" s="20"/>
      <c r="L17" s="21" t="str">
        <f t="shared" si="4"/>
        <v>-</v>
      </c>
      <c r="M17" s="20"/>
      <c r="N17" s="21" t="str">
        <f t="shared" si="5"/>
        <v>-</v>
      </c>
      <c r="O17" s="20"/>
      <c r="P17" s="20"/>
      <c r="Q17" s="23">
        <f t="shared" si="6"/>
        <v>0</v>
      </c>
      <c r="R17" s="21" t="str">
        <f t="shared" si="7"/>
        <v>-</v>
      </c>
      <c r="S17" s="20"/>
      <c r="T17" s="21" t="str">
        <f t="shared" si="8"/>
        <v>-</v>
      </c>
      <c r="U17" s="21"/>
      <c r="V17" s="22" t="str">
        <f t="shared" si="9"/>
        <v>-</v>
      </c>
      <c r="W17" s="32"/>
      <c r="X17" s="26"/>
    </row>
    <row r="18" ht="15.0" customHeight="1">
      <c r="A18" s="33"/>
      <c r="B18" s="33"/>
      <c r="C18" s="33"/>
      <c r="D18" s="33"/>
      <c r="E18" s="10"/>
      <c r="F18" s="11"/>
      <c r="G18" s="12" t="str">
        <f t="shared" si="1"/>
        <v>-</v>
      </c>
      <c r="H18" s="11"/>
      <c r="I18" s="13" t="str">
        <f t="shared" si="2"/>
        <v>-</v>
      </c>
      <c r="J18" s="12" t="str">
        <f t="shared" si="3"/>
        <v>-</v>
      </c>
      <c r="K18" s="11"/>
      <c r="L18" s="12" t="str">
        <f t="shared" si="4"/>
        <v>-</v>
      </c>
      <c r="M18" s="11"/>
      <c r="N18" s="12" t="str">
        <f t="shared" si="5"/>
        <v>-</v>
      </c>
      <c r="O18" s="11"/>
      <c r="P18" s="11"/>
      <c r="Q18" s="14">
        <f t="shared" si="6"/>
        <v>0</v>
      </c>
      <c r="R18" s="12" t="str">
        <f t="shared" si="7"/>
        <v>-</v>
      </c>
      <c r="S18" s="11"/>
      <c r="T18" s="12" t="str">
        <f t="shared" si="8"/>
        <v>-</v>
      </c>
      <c r="U18" s="12"/>
      <c r="V18" s="13" t="str">
        <f t="shared" si="9"/>
        <v>-</v>
      </c>
      <c r="W18" s="33"/>
      <c r="X18" s="17"/>
    </row>
    <row r="19" ht="15.0" customHeight="1">
      <c r="A19" s="32"/>
      <c r="B19" s="32"/>
      <c r="C19" s="32"/>
      <c r="D19" s="32"/>
      <c r="E19" s="19"/>
      <c r="F19" s="20"/>
      <c r="G19" s="21" t="str">
        <f t="shared" si="1"/>
        <v>-</v>
      </c>
      <c r="H19" s="20"/>
      <c r="I19" s="22" t="str">
        <f t="shared" si="2"/>
        <v>-</v>
      </c>
      <c r="J19" s="21" t="str">
        <f t="shared" si="3"/>
        <v>-</v>
      </c>
      <c r="K19" s="20"/>
      <c r="L19" s="21" t="str">
        <f t="shared" si="4"/>
        <v>-</v>
      </c>
      <c r="M19" s="20"/>
      <c r="N19" s="21" t="str">
        <f t="shared" si="5"/>
        <v>-</v>
      </c>
      <c r="O19" s="20"/>
      <c r="P19" s="20"/>
      <c r="Q19" s="23">
        <f t="shared" si="6"/>
        <v>0</v>
      </c>
      <c r="R19" s="21" t="str">
        <f t="shared" si="7"/>
        <v>-</v>
      </c>
      <c r="S19" s="20"/>
      <c r="T19" s="21" t="str">
        <f t="shared" si="8"/>
        <v>-</v>
      </c>
      <c r="U19" s="21"/>
      <c r="V19" s="22" t="str">
        <f t="shared" si="9"/>
        <v>-</v>
      </c>
      <c r="W19" s="32"/>
      <c r="X19" s="26"/>
    </row>
    <row r="20" ht="15.0" customHeight="1">
      <c r="A20" s="33"/>
      <c r="B20" s="33"/>
      <c r="C20" s="33"/>
      <c r="D20" s="33"/>
      <c r="E20" s="10"/>
      <c r="F20" s="11"/>
      <c r="G20" s="12" t="str">
        <f t="shared" si="1"/>
        <v>-</v>
      </c>
      <c r="H20" s="11"/>
      <c r="I20" s="13" t="str">
        <f t="shared" si="2"/>
        <v>-</v>
      </c>
      <c r="J20" s="12" t="str">
        <f t="shared" si="3"/>
        <v>-</v>
      </c>
      <c r="K20" s="11"/>
      <c r="L20" s="12" t="str">
        <f t="shared" si="4"/>
        <v>-</v>
      </c>
      <c r="M20" s="11"/>
      <c r="N20" s="12" t="str">
        <f t="shared" si="5"/>
        <v>-</v>
      </c>
      <c r="O20" s="11"/>
      <c r="P20" s="11"/>
      <c r="Q20" s="14">
        <f t="shared" si="6"/>
        <v>0</v>
      </c>
      <c r="R20" s="12" t="str">
        <f t="shared" si="7"/>
        <v>-</v>
      </c>
      <c r="S20" s="11"/>
      <c r="T20" s="12" t="str">
        <f t="shared" si="8"/>
        <v>-</v>
      </c>
      <c r="U20" s="12"/>
      <c r="V20" s="13" t="str">
        <f t="shared" si="9"/>
        <v>-</v>
      </c>
      <c r="W20" s="33"/>
      <c r="X20" s="17"/>
    </row>
    <row r="21" ht="15.0" customHeight="1">
      <c r="A21" s="32"/>
      <c r="B21" s="32"/>
      <c r="C21" s="32"/>
      <c r="D21" s="32"/>
      <c r="E21" s="19"/>
      <c r="F21" s="20"/>
      <c r="G21" s="21" t="str">
        <f t="shared" si="1"/>
        <v>-</v>
      </c>
      <c r="H21" s="20"/>
      <c r="I21" s="22" t="str">
        <f t="shared" si="2"/>
        <v>-</v>
      </c>
      <c r="J21" s="21" t="str">
        <f t="shared" si="3"/>
        <v>-</v>
      </c>
      <c r="K21" s="20"/>
      <c r="L21" s="21" t="str">
        <f t="shared" si="4"/>
        <v>-</v>
      </c>
      <c r="M21" s="20"/>
      <c r="N21" s="21" t="str">
        <f t="shared" si="5"/>
        <v>-</v>
      </c>
      <c r="O21" s="20"/>
      <c r="P21" s="20"/>
      <c r="Q21" s="23">
        <f t="shared" si="6"/>
        <v>0</v>
      </c>
      <c r="R21" s="21" t="str">
        <f t="shared" si="7"/>
        <v>-</v>
      </c>
      <c r="S21" s="20"/>
      <c r="T21" s="21" t="str">
        <f t="shared" si="8"/>
        <v>-</v>
      </c>
      <c r="U21" s="21"/>
      <c r="V21" s="22" t="str">
        <f t="shared" si="9"/>
        <v>-</v>
      </c>
      <c r="W21" s="32"/>
      <c r="X21" s="26"/>
    </row>
    <row r="22" ht="15.0" customHeight="1">
      <c r="A22" s="33"/>
      <c r="B22" s="33"/>
      <c r="C22" s="33"/>
      <c r="D22" s="33"/>
      <c r="E22" s="10"/>
      <c r="F22" s="11"/>
      <c r="G22" s="12" t="str">
        <f t="shared" si="1"/>
        <v>-</v>
      </c>
      <c r="H22" s="11"/>
      <c r="I22" s="13" t="str">
        <f t="shared" si="2"/>
        <v>-</v>
      </c>
      <c r="J22" s="12" t="str">
        <f t="shared" si="3"/>
        <v>-</v>
      </c>
      <c r="K22" s="11"/>
      <c r="L22" s="12" t="str">
        <f t="shared" si="4"/>
        <v>-</v>
      </c>
      <c r="M22" s="11"/>
      <c r="N22" s="12" t="str">
        <f t="shared" si="5"/>
        <v>-</v>
      </c>
      <c r="O22" s="11"/>
      <c r="P22" s="11"/>
      <c r="Q22" s="14">
        <f t="shared" si="6"/>
        <v>0</v>
      </c>
      <c r="R22" s="12" t="str">
        <f t="shared" si="7"/>
        <v>-</v>
      </c>
      <c r="S22" s="11"/>
      <c r="T22" s="12" t="str">
        <f t="shared" si="8"/>
        <v>-</v>
      </c>
      <c r="U22" s="12"/>
      <c r="V22" s="13" t="str">
        <f t="shared" si="9"/>
        <v>-</v>
      </c>
      <c r="W22" s="33"/>
      <c r="X22" s="17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</row>
  </sheetData>
  <mergeCells count="1">
    <mergeCell ref="A1:X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BB6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8" width="18.0"/>
    <col customWidth="1" min="9" max="26" width="8.71"/>
  </cols>
  <sheetData>
    <row r="1" ht="17.25" customHeight="1">
      <c r="A1" s="1" t="s">
        <v>85</v>
      </c>
      <c r="B1" s="2"/>
      <c r="C1" s="2"/>
      <c r="D1" s="2"/>
      <c r="E1" s="2"/>
      <c r="F1" s="2"/>
      <c r="G1" s="2"/>
      <c r="H1" s="3"/>
    </row>
    <row r="2">
      <c r="A2" s="34"/>
      <c r="B2" s="34"/>
      <c r="C2" s="34"/>
      <c r="D2" s="34"/>
      <c r="E2" s="34"/>
      <c r="F2" s="34"/>
      <c r="G2" s="34"/>
      <c r="H2" s="34"/>
    </row>
    <row r="3" ht="26.25" customHeight="1">
      <c r="A3" s="8" t="s">
        <v>86</v>
      </c>
      <c r="B3" s="8" t="s">
        <v>87</v>
      </c>
      <c r="C3" s="8" t="s">
        <v>88</v>
      </c>
      <c r="D3" s="8" t="s">
        <v>89</v>
      </c>
      <c r="E3" s="8" t="s">
        <v>90</v>
      </c>
      <c r="F3" s="8" t="s">
        <v>76</v>
      </c>
      <c r="G3" s="8" t="s">
        <v>91</v>
      </c>
      <c r="H3" s="8"/>
    </row>
    <row r="4" ht="15.0" customHeight="1">
      <c r="A4" s="9" t="s">
        <v>12</v>
      </c>
      <c r="B4" s="14">
        <f>'Février 2026'!C32</f>
        <v>0</v>
      </c>
      <c r="C4" s="9"/>
      <c r="D4" s="9"/>
      <c r="E4" s="33" t="s">
        <v>92</v>
      </c>
      <c r="F4" s="33"/>
      <c r="G4" s="33"/>
      <c r="H4" s="33"/>
    </row>
    <row r="5" ht="15.0" customHeight="1">
      <c r="A5" s="18" t="s">
        <v>14</v>
      </c>
      <c r="B5" s="23">
        <f>'Février 2026'!E32</f>
        <v>0</v>
      </c>
      <c r="C5" s="22" t="str">
        <f>'Février 2026'!F32</f>
        <v>-</v>
      </c>
      <c r="D5" s="21" t="str">
        <f>'Février 2026'!G32</f>
        <v>-</v>
      </c>
      <c r="E5" s="32" t="s">
        <v>93</v>
      </c>
      <c r="F5" s="32"/>
      <c r="G5" s="32"/>
      <c r="H5" s="32"/>
    </row>
    <row r="6" ht="15.0" customHeight="1">
      <c r="A6" s="9" t="s">
        <v>94</v>
      </c>
      <c r="B6" s="14">
        <f>'Février 2026'!I32</f>
        <v>0</v>
      </c>
      <c r="C6" s="13" t="str">
        <f>'Février 2026'!J32</f>
        <v>-</v>
      </c>
      <c r="D6" s="12" t="str">
        <f>'Février 2026'!H32</f>
        <v>-</v>
      </c>
      <c r="E6" s="33" t="s">
        <v>95</v>
      </c>
      <c r="F6" s="33"/>
      <c r="G6" s="33"/>
      <c r="H6" s="33"/>
    </row>
    <row r="7" ht="15.0" customHeight="1">
      <c r="A7" s="18" t="s">
        <v>20</v>
      </c>
      <c r="B7" s="23">
        <f>'Février 2026'!K32</f>
        <v>0</v>
      </c>
      <c r="C7" s="22" t="str">
        <f>'Février 2026'!M32</f>
        <v>-</v>
      </c>
      <c r="D7" s="21" t="str">
        <f>'Février 2026'!L32</f>
        <v>-</v>
      </c>
      <c r="E7" s="32" t="s">
        <v>96</v>
      </c>
      <c r="F7" s="32"/>
      <c r="G7" s="32"/>
      <c r="H7" s="32"/>
    </row>
    <row r="8" ht="15.0" customHeight="1">
      <c r="A8" s="9" t="s">
        <v>24</v>
      </c>
      <c r="B8" s="14">
        <f>'Février 2026'!O32</f>
        <v>0</v>
      </c>
      <c r="C8" s="13" t="str">
        <f>'Février 2026'!P32</f>
        <v>-</v>
      </c>
      <c r="D8" s="12" t="str">
        <f>'Février 2026'!V32</f>
        <v>-</v>
      </c>
      <c r="E8" s="33" t="s">
        <v>97</v>
      </c>
      <c r="F8" s="33"/>
      <c r="G8" s="33"/>
      <c r="H8" s="33"/>
    </row>
    <row r="9" ht="15.0" customHeight="1">
      <c r="A9" s="18" t="s">
        <v>27</v>
      </c>
      <c r="B9" s="23">
        <f>'Février 2026'!R32</f>
        <v>0</v>
      </c>
      <c r="C9" s="22" t="str">
        <f>'Février 2026'!S32</f>
        <v>-</v>
      </c>
      <c r="D9" s="21" t="str">
        <f>'Février 2026'!W32</f>
        <v>-</v>
      </c>
      <c r="E9" s="32"/>
      <c r="F9" s="32"/>
      <c r="G9" s="32"/>
      <c r="H9" s="32"/>
    </row>
    <row r="10" ht="15.0" customHeight="1">
      <c r="A10" s="9" t="s">
        <v>29</v>
      </c>
      <c r="B10" s="14">
        <f>'Février 2026'!T32</f>
        <v>0</v>
      </c>
      <c r="C10" s="13" t="str">
        <f>'Février 2026'!U32</f>
        <v>-</v>
      </c>
      <c r="D10" s="12" t="str">
        <f>'Février 2026'!X32</f>
        <v>-</v>
      </c>
      <c r="E10" s="33" t="s">
        <v>98</v>
      </c>
      <c r="F10" s="33"/>
      <c r="G10" s="33"/>
      <c r="H10" s="33"/>
    </row>
    <row r="11" ht="15.0" customHeight="1">
      <c r="A11" s="18" t="s">
        <v>80</v>
      </c>
      <c r="B11" s="23">
        <f>'Février 2026'!Y32</f>
        <v>0</v>
      </c>
      <c r="C11" s="22" t="str">
        <f>'Février 2026'!Z32</f>
        <v>-</v>
      </c>
      <c r="D11" s="21" t="str">
        <f>'Février 2026'!AC32</f>
        <v>-</v>
      </c>
      <c r="E11" s="32" t="s">
        <v>99</v>
      </c>
      <c r="F11" s="32"/>
      <c r="G11" s="32"/>
      <c r="H11" s="32"/>
    </row>
    <row r="12">
      <c r="A12" s="34"/>
      <c r="B12" s="34"/>
      <c r="C12" s="34"/>
      <c r="D12" s="34"/>
      <c r="E12" s="34"/>
      <c r="F12" s="34"/>
      <c r="G12" s="34"/>
      <c r="H12" s="34"/>
    </row>
    <row r="13" ht="15.0" customHeight="1">
      <c r="A13" s="35" t="s">
        <v>100</v>
      </c>
      <c r="B13" s="2"/>
      <c r="C13" s="2"/>
      <c r="D13" s="2"/>
      <c r="E13" s="2"/>
      <c r="F13" s="2"/>
      <c r="G13" s="2"/>
      <c r="H13" s="3"/>
    </row>
    <row r="14" ht="15.0" customHeight="1">
      <c r="A14" s="8" t="s">
        <v>101</v>
      </c>
      <c r="B14" s="8" t="s">
        <v>102</v>
      </c>
      <c r="C14" s="8" t="s">
        <v>103</v>
      </c>
      <c r="D14" s="8" t="s">
        <v>104</v>
      </c>
      <c r="E14" s="8" t="s">
        <v>105</v>
      </c>
      <c r="F14" s="8"/>
      <c r="G14" s="8"/>
      <c r="H14" s="8"/>
    </row>
    <row r="15" ht="15.0" customHeight="1">
      <c r="A15" s="36" t="s">
        <v>106</v>
      </c>
      <c r="B15" s="23">
        <f>'Février 2026'!K32</f>
        <v>0</v>
      </c>
      <c r="C15" s="32"/>
      <c r="D15" s="37"/>
      <c r="E15" s="38"/>
      <c r="F15" s="39"/>
      <c r="G15" s="39"/>
      <c r="H15" s="39"/>
    </row>
    <row r="16" ht="15.0" customHeight="1">
      <c r="A16" s="40" t="s">
        <v>107</v>
      </c>
      <c r="B16" s="14">
        <f>'Février 2026'!O32</f>
        <v>0</v>
      </c>
      <c r="C16" s="33"/>
      <c r="D16" s="41"/>
      <c r="E16" s="42"/>
      <c r="F16" s="43"/>
      <c r="G16" s="43"/>
      <c r="H16" s="43"/>
    </row>
    <row r="17" ht="15.0" customHeight="1">
      <c r="A17" s="36" t="s">
        <v>26</v>
      </c>
      <c r="B17" s="23">
        <f>'Février 2026'!Q32</f>
        <v>0</v>
      </c>
      <c r="C17" s="32"/>
      <c r="D17" s="37"/>
      <c r="E17" s="38" t="s">
        <v>108</v>
      </c>
      <c r="F17" s="39"/>
      <c r="G17" s="39"/>
      <c r="H17" s="39"/>
    </row>
    <row r="18" ht="15.0" customHeight="1">
      <c r="A18" s="40" t="s">
        <v>109</v>
      </c>
      <c r="B18" s="14">
        <f>'Février 2026'!R32</f>
        <v>0</v>
      </c>
      <c r="C18" s="33"/>
      <c r="D18" s="41"/>
      <c r="E18" s="42"/>
      <c r="F18" s="43"/>
      <c r="G18" s="43"/>
      <c r="H18" s="43"/>
    </row>
    <row r="19" ht="15.0" customHeight="1">
      <c r="A19" s="36" t="s">
        <v>110</v>
      </c>
      <c r="B19" s="22" t="str">
        <f>'Février 2026'!P32</f>
        <v>-</v>
      </c>
      <c r="C19" s="32" t="s">
        <v>111</v>
      </c>
      <c r="D19" s="37"/>
      <c r="E19" s="38" t="s">
        <v>112</v>
      </c>
      <c r="F19" s="39"/>
      <c r="G19" s="39"/>
      <c r="H19" s="39"/>
    </row>
    <row r="20" ht="15.0" customHeight="1">
      <c r="A20" s="40" t="s">
        <v>113</v>
      </c>
      <c r="B20" s="13" t="str">
        <f>'Février 2026'!S32</f>
        <v>-</v>
      </c>
      <c r="C20" s="33" t="s">
        <v>114</v>
      </c>
      <c r="D20" s="41"/>
      <c r="E20" s="42" t="s">
        <v>115</v>
      </c>
      <c r="F20" s="43"/>
      <c r="G20" s="43"/>
      <c r="H20" s="43"/>
    </row>
    <row r="21" ht="15.0" customHeight="1">
      <c r="A21" s="36" t="s">
        <v>116</v>
      </c>
      <c r="B21" s="22" t="str">
        <f>'Février 2026'!U32</f>
        <v>-</v>
      </c>
      <c r="C21" s="32" t="s">
        <v>117</v>
      </c>
      <c r="D21" s="37"/>
      <c r="E21" s="38" t="s">
        <v>118</v>
      </c>
      <c r="F21" s="39"/>
      <c r="G21" s="39"/>
      <c r="H21" s="39"/>
    </row>
    <row r="22" ht="15.75" customHeight="1">
      <c r="A22" s="34"/>
      <c r="B22" s="34"/>
      <c r="C22" s="34"/>
      <c r="D22" s="34"/>
      <c r="E22" s="34"/>
      <c r="F22" s="34"/>
      <c r="G22" s="34"/>
      <c r="H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</row>
    <row r="24" ht="15.0" customHeight="1">
      <c r="A24" s="44" t="s">
        <v>119</v>
      </c>
      <c r="B24" s="2"/>
      <c r="C24" s="2"/>
      <c r="D24" s="2"/>
      <c r="E24" s="2"/>
      <c r="F24" s="2"/>
      <c r="G24" s="2"/>
      <c r="H24" s="3"/>
    </row>
    <row r="25" ht="15.0" customHeight="1">
      <c r="A25" s="45" t="s">
        <v>120</v>
      </c>
      <c r="B25" s="46">
        <f>'Février 2026'!B32</f>
        <v>0</v>
      </c>
      <c r="C25" s="39"/>
      <c r="D25" s="39"/>
      <c r="E25" s="39"/>
      <c r="F25" s="39"/>
      <c r="G25" s="39"/>
      <c r="H25" s="39"/>
    </row>
    <row r="26" ht="15.0" customHeight="1">
      <c r="A26" s="47" t="s">
        <v>121</v>
      </c>
      <c r="B26" s="48">
        <f>'Février 2026'!AA32</f>
        <v>0</v>
      </c>
      <c r="C26" s="43"/>
      <c r="D26" s="43"/>
      <c r="E26" s="43"/>
      <c r="F26" s="43"/>
      <c r="G26" s="43"/>
      <c r="H26" s="43"/>
    </row>
    <row r="27" ht="15.0" customHeight="1">
      <c r="A27" s="45" t="s">
        <v>122</v>
      </c>
      <c r="B27" s="46">
        <f>'Février 2026'!AB32</f>
        <v>0</v>
      </c>
      <c r="C27" s="39"/>
      <c r="D27" s="39"/>
      <c r="E27" s="39"/>
      <c r="F27" s="39"/>
      <c r="G27" s="39"/>
      <c r="H27" s="39"/>
    </row>
    <row r="28" ht="15.0" customHeight="1">
      <c r="A28" s="47" t="s">
        <v>123</v>
      </c>
      <c r="B28" s="48">
        <f>'Février 2026'!AD32</f>
        <v>0</v>
      </c>
      <c r="C28" s="43"/>
      <c r="D28" s="43"/>
      <c r="E28" s="43"/>
      <c r="F28" s="43"/>
      <c r="G28" s="43"/>
      <c r="H28" s="43"/>
    </row>
    <row r="29" ht="15.0" customHeight="1">
      <c r="A29" s="45" t="s">
        <v>124</v>
      </c>
      <c r="B29" s="49" t="str">
        <f>'Février 2026'!AE32</f>
        <v>-</v>
      </c>
      <c r="C29" s="39"/>
      <c r="D29" s="39"/>
      <c r="E29" s="39"/>
      <c r="F29" s="39"/>
      <c r="G29" s="39"/>
      <c r="H29" s="39"/>
    </row>
    <row r="30" ht="15.0" customHeight="1">
      <c r="A30" s="47" t="s">
        <v>125</v>
      </c>
      <c r="B30" s="50" t="str">
        <f>'Février 2026'!AF32</f>
        <v>-</v>
      </c>
      <c r="C30" s="43"/>
      <c r="D30" s="43"/>
      <c r="E30" s="43"/>
      <c r="F30" s="43"/>
      <c r="G30" s="43"/>
      <c r="H30" s="43"/>
    </row>
    <row r="31" ht="15.0" customHeight="1">
      <c r="A31" s="45" t="s">
        <v>126</v>
      </c>
      <c r="B31" s="46" t="str">
        <f>'Février 2026'!AC32</f>
        <v>-</v>
      </c>
      <c r="C31" s="39"/>
      <c r="D31" s="39"/>
      <c r="E31" s="39"/>
      <c r="F31" s="39"/>
      <c r="G31" s="39"/>
      <c r="H31" s="39"/>
    </row>
    <row r="32" ht="15.75" customHeight="1">
      <c r="A32" s="34"/>
      <c r="B32" s="34"/>
      <c r="C32" s="34"/>
      <c r="D32" s="34"/>
      <c r="E32" s="34"/>
      <c r="F32" s="34"/>
      <c r="G32" s="34"/>
      <c r="H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</row>
  </sheetData>
  <mergeCells count="3">
    <mergeCell ref="A1:H1"/>
    <mergeCell ref="A13:H13"/>
    <mergeCell ref="A24:H2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B47BC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4.0"/>
    <col customWidth="1" min="4" max="4" width="13.0"/>
    <col customWidth="1" min="5" max="11" width="10.0"/>
    <col customWidth="1" min="12" max="13" width="13.0"/>
    <col customWidth="1" min="14" max="14" width="14.0"/>
    <col customWidth="1" min="15" max="15" width="12.0"/>
    <col customWidth="1" min="16" max="16" width="14.0"/>
    <col customWidth="1" min="17" max="17" width="10.0"/>
    <col customWidth="1" min="18" max="18" width="13.0"/>
    <col customWidth="1" min="19" max="20" width="12.0"/>
    <col customWidth="1" min="21" max="22" width="10.0"/>
    <col customWidth="1" min="23" max="23" width="25.0"/>
    <col customWidth="1" min="24" max="26" width="8.71"/>
  </cols>
  <sheetData>
    <row r="1" ht="17.25" customHeight="1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26.25" customHeight="1">
      <c r="A2" s="8" t="s">
        <v>128</v>
      </c>
      <c r="B2" s="8" t="s">
        <v>129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18</v>
      </c>
      <c r="J2" s="8" t="s">
        <v>77</v>
      </c>
      <c r="K2" s="8" t="s">
        <v>21</v>
      </c>
      <c r="L2" s="8" t="s">
        <v>78</v>
      </c>
      <c r="M2" s="8" t="s">
        <v>130</v>
      </c>
      <c r="N2" s="8" t="s">
        <v>27</v>
      </c>
      <c r="O2" s="8" t="s">
        <v>29</v>
      </c>
      <c r="P2" s="8" t="s">
        <v>79</v>
      </c>
      <c r="Q2" s="8" t="s">
        <v>80</v>
      </c>
      <c r="R2" s="8" t="s">
        <v>35</v>
      </c>
      <c r="S2" s="8" t="s">
        <v>81</v>
      </c>
      <c r="T2" s="8" t="s">
        <v>131</v>
      </c>
      <c r="U2" s="8" t="s">
        <v>38</v>
      </c>
      <c r="V2" s="8" t="s">
        <v>82</v>
      </c>
      <c r="W2" s="8" t="s">
        <v>132</v>
      </c>
    </row>
    <row r="3" ht="15.0" customHeight="1">
      <c r="A3" s="18" t="s">
        <v>133</v>
      </c>
      <c r="B3" s="32"/>
      <c r="C3" s="19"/>
      <c r="D3" s="20"/>
      <c r="E3" s="21" t="str">
        <f t="shared" ref="E3:E10" si="1">IF(D3=0,"-",C3/D3*1000)</f>
        <v>-</v>
      </c>
      <c r="F3" s="20"/>
      <c r="G3" s="22" t="str">
        <f t="shared" ref="G3:G10" si="2">IF(D3=0,"-",F3/D3)</f>
        <v>-</v>
      </c>
      <c r="H3" s="21" t="str">
        <f t="shared" ref="H3:H10" si="3">IF(F3=0,"-",C3/F3)</f>
        <v>-</v>
      </c>
      <c r="I3" s="20"/>
      <c r="J3" s="20"/>
      <c r="K3" s="21" t="str">
        <f t="shared" ref="K3:K10" si="4">IF(J3=0,"-",C3/J3)</f>
        <v>-</v>
      </c>
      <c r="L3" s="20"/>
      <c r="M3" s="22" t="str">
        <f t="shared" ref="M3:M10" si="5">IF(J3=0,"-",L3/J3)</f>
        <v>-</v>
      </c>
      <c r="N3" s="20"/>
      <c r="O3" s="23">
        <f t="shared" ref="O3:O10" si="6">L3+N3</f>
        <v>0</v>
      </c>
      <c r="P3" s="21" t="str">
        <f t="shared" ref="P3:P10" si="7">IF(O3=0,"-",C3/O3)</f>
        <v>-</v>
      </c>
      <c r="Q3" s="20"/>
      <c r="R3" s="22" t="str">
        <f t="shared" ref="R3:R10" si="8">IF(O3=0,"-",Q3/O3)</f>
        <v>-</v>
      </c>
      <c r="S3" s="19"/>
      <c r="T3" s="19"/>
      <c r="U3" s="21" t="str">
        <f t="shared" ref="U3:U10" si="9">IF(Q3=0,"-",C3/Q3)</f>
        <v>-</v>
      </c>
      <c r="V3" s="22" t="str">
        <f t="shared" ref="V3:V10" si="10">IF(C3=0,"-",(T3-C3)/C3)</f>
        <v>-</v>
      </c>
      <c r="W3" s="32"/>
    </row>
    <row r="4" ht="15.0" customHeight="1">
      <c r="A4" s="9" t="s">
        <v>134</v>
      </c>
      <c r="B4" s="33"/>
      <c r="C4" s="10"/>
      <c r="D4" s="11"/>
      <c r="E4" s="12" t="str">
        <f t="shared" si="1"/>
        <v>-</v>
      </c>
      <c r="F4" s="11"/>
      <c r="G4" s="13" t="str">
        <f t="shared" si="2"/>
        <v>-</v>
      </c>
      <c r="H4" s="12" t="str">
        <f t="shared" si="3"/>
        <v>-</v>
      </c>
      <c r="I4" s="11"/>
      <c r="J4" s="11"/>
      <c r="K4" s="12" t="str">
        <f t="shared" si="4"/>
        <v>-</v>
      </c>
      <c r="L4" s="11"/>
      <c r="M4" s="13" t="str">
        <f t="shared" si="5"/>
        <v>-</v>
      </c>
      <c r="N4" s="11"/>
      <c r="O4" s="14">
        <f t="shared" si="6"/>
        <v>0</v>
      </c>
      <c r="P4" s="12" t="str">
        <f t="shared" si="7"/>
        <v>-</v>
      </c>
      <c r="Q4" s="11"/>
      <c r="R4" s="13" t="str">
        <f t="shared" si="8"/>
        <v>-</v>
      </c>
      <c r="S4" s="10"/>
      <c r="T4" s="10"/>
      <c r="U4" s="12" t="str">
        <f t="shared" si="9"/>
        <v>-</v>
      </c>
      <c r="V4" s="13" t="str">
        <f t="shared" si="10"/>
        <v>-</v>
      </c>
      <c r="W4" s="33"/>
    </row>
    <row r="5" ht="15.0" customHeight="1">
      <c r="A5" s="18" t="s">
        <v>135</v>
      </c>
      <c r="B5" s="32"/>
      <c r="C5" s="19"/>
      <c r="D5" s="20"/>
      <c r="E5" s="21" t="str">
        <f t="shared" si="1"/>
        <v>-</v>
      </c>
      <c r="F5" s="20"/>
      <c r="G5" s="22" t="str">
        <f t="shared" si="2"/>
        <v>-</v>
      </c>
      <c r="H5" s="21" t="str">
        <f t="shared" si="3"/>
        <v>-</v>
      </c>
      <c r="I5" s="20"/>
      <c r="J5" s="20"/>
      <c r="K5" s="21" t="str">
        <f t="shared" si="4"/>
        <v>-</v>
      </c>
      <c r="L5" s="20"/>
      <c r="M5" s="22" t="str">
        <f t="shared" si="5"/>
        <v>-</v>
      </c>
      <c r="N5" s="20"/>
      <c r="O5" s="23">
        <f t="shared" si="6"/>
        <v>0</v>
      </c>
      <c r="P5" s="21" t="str">
        <f t="shared" si="7"/>
        <v>-</v>
      </c>
      <c r="Q5" s="20"/>
      <c r="R5" s="22" t="str">
        <f t="shared" si="8"/>
        <v>-</v>
      </c>
      <c r="S5" s="19"/>
      <c r="T5" s="19"/>
      <c r="U5" s="21" t="str">
        <f t="shared" si="9"/>
        <v>-</v>
      </c>
      <c r="V5" s="22" t="str">
        <f t="shared" si="10"/>
        <v>-</v>
      </c>
      <c r="W5" s="32"/>
    </row>
    <row r="6" ht="15.0" customHeight="1">
      <c r="A6" s="9" t="s">
        <v>136</v>
      </c>
      <c r="B6" s="33"/>
      <c r="C6" s="10"/>
      <c r="D6" s="11"/>
      <c r="E6" s="12" t="str">
        <f t="shared" si="1"/>
        <v>-</v>
      </c>
      <c r="F6" s="11"/>
      <c r="G6" s="13" t="str">
        <f t="shared" si="2"/>
        <v>-</v>
      </c>
      <c r="H6" s="12" t="str">
        <f t="shared" si="3"/>
        <v>-</v>
      </c>
      <c r="I6" s="11"/>
      <c r="J6" s="11"/>
      <c r="K6" s="12" t="str">
        <f t="shared" si="4"/>
        <v>-</v>
      </c>
      <c r="L6" s="11"/>
      <c r="M6" s="13" t="str">
        <f t="shared" si="5"/>
        <v>-</v>
      </c>
      <c r="N6" s="11"/>
      <c r="O6" s="14">
        <f t="shared" si="6"/>
        <v>0</v>
      </c>
      <c r="P6" s="12" t="str">
        <f t="shared" si="7"/>
        <v>-</v>
      </c>
      <c r="Q6" s="11"/>
      <c r="R6" s="13" t="str">
        <f t="shared" si="8"/>
        <v>-</v>
      </c>
      <c r="S6" s="10"/>
      <c r="T6" s="10"/>
      <c r="U6" s="12" t="str">
        <f t="shared" si="9"/>
        <v>-</v>
      </c>
      <c r="V6" s="13" t="str">
        <f t="shared" si="10"/>
        <v>-</v>
      </c>
      <c r="W6" s="33"/>
    </row>
    <row r="7" ht="15.0" customHeight="1">
      <c r="A7" s="18" t="s">
        <v>137</v>
      </c>
      <c r="B7" s="32"/>
      <c r="C7" s="19"/>
      <c r="D7" s="20"/>
      <c r="E7" s="21" t="str">
        <f t="shared" si="1"/>
        <v>-</v>
      </c>
      <c r="F7" s="20"/>
      <c r="G7" s="22" t="str">
        <f t="shared" si="2"/>
        <v>-</v>
      </c>
      <c r="H7" s="21" t="str">
        <f t="shared" si="3"/>
        <v>-</v>
      </c>
      <c r="I7" s="20"/>
      <c r="J7" s="20"/>
      <c r="K7" s="21" t="str">
        <f t="shared" si="4"/>
        <v>-</v>
      </c>
      <c r="L7" s="20"/>
      <c r="M7" s="22" t="str">
        <f t="shared" si="5"/>
        <v>-</v>
      </c>
      <c r="N7" s="20"/>
      <c r="O7" s="23">
        <f t="shared" si="6"/>
        <v>0</v>
      </c>
      <c r="P7" s="21" t="str">
        <f t="shared" si="7"/>
        <v>-</v>
      </c>
      <c r="Q7" s="20"/>
      <c r="R7" s="22" t="str">
        <f t="shared" si="8"/>
        <v>-</v>
      </c>
      <c r="S7" s="19"/>
      <c r="T7" s="19"/>
      <c r="U7" s="21" t="str">
        <f t="shared" si="9"/>
        <v>-</v>
      </c>
      <c r="V7" s="22" t="str">
        <f t="shared" si="10"/>
        <v>-</v>
      </c>
      <c r="W7" s="32"/>
    </row>
    <row r="8" ht="15.0" customHeight="1">
      <c r="A8" s="9" t="s">
        <v>138</v>
      </c>
      <c r="B8" s="33"/>
      <c r="C8" s="10"/>
      <c r="D8" s="11"/>
      <c r="E8" s="12" t="str">
        <f t="shared" si="1"/>
        <v>-</v>
      </c>
      <c r="F8" s="11"/>
      <c r="G8" s="13" t="str">
        <f t="shared" si="2"/>
        <v>-</v>
      </c>
      <c r="H8" s="12" t="str">
        <f t="shared" si="3"/>
        <v>-</v>
      </c>
      <c r="I8" s="11"/>
      <c r="J8" s="11"/>
      <c r="K8" s="12" t="str">
        <f t="shared" si="4"/>
        <v>-</v>
      </c>
      <c r="L8" s="11"/>
      <c r="M8" s="13" t="str">
        <f t="shared" si="5"/>
        <v>-</v>
      </c>
      <c r="N8" s="11"/>
      <c r="O8" s="14">
        <f t="shared" si="6"/>
        <v>0</v>
      </c>
      <c r="P8" s="12" t="str">
        <f t="shared" si="7"/>
        <v>-</v>
      </c>
      <c r="Q8" s="11"/>
      <c r="R8" s="13" t="str">
        <f t="shared" si="8"/>
        <v>-</v>
      </c>
      <c r="S8" s="10"/>
      <c r="T8" s="10"/>
      <c r="U8" s="12" t="str">
        <f t="shared" si="9"/>
        <v>-</v>
      </c>
      <c r="V8" s="13" t="str">
        <f t="shared" si="10"/>
        <v>-</v>
      </c>
      <c r="W8" s="33"/>
    </row>
    <row r="9" ht="15.0" customHeight="1">
      <c r="A9" s="18" t="s">
        <v>139</v>
      </c>
      <c r="B9" s="32"/>
      <c r="C9" s="19"/>
      <c r="D9" s="20"/>
      <c r="E9" s="21" t="str">
        <f t="shared" si="1"/>
        <v>-</v>
      </c>
      <c r="F9" s="20"/>
      <c r="G9" s="22" t="str">
        <f t="shared" si="2"/>
        <v>-</v>
      </c>
      <c r="H9" s="21" t="str">
        <f t="shared" si="3"/>
        <v>-</v>
      </c>
      <c r="I9" s="20"/>
      <c r="J9" s="20"/>
      <c r="K9" s="21" t="str">
        <f t="shared" si="4"/>
        <v>-</v>
      </c>
      <c r="L9" s="20"/>
      <c r="M9" s="22" t="str">
        <f t="shared" si="5"/>
        <v>-</v>
      </c>
      <c r="N9" s="20"/>
      <c r="O9" s="23">
        <f t="shared" si="6"/>
        <v>0</v>
      </c>
      <c r="P9" s="21" t="str">
        <f t="shared" si="7"/>
        <v>-</v>
      </c>
      <c r="Q9" s="20"/>
      <c r="R9" s="22" t="str">
        <f t="shared" si="8"/>
        <v>-</v>
      </c>
      <c r="S9" s="19"/>
      <c r="T9" s="19"/>
      <c r="U9" s="21" t="str">
        <f t="shared" si="9"/>
        <v>-</v>
      </c>
      <c r="V9" s="22" t="str">
        <f t="shared" si="10"/>
        <v>-</v>
      </c>
      <c r="W9" s="32"/>
    </row>
    <row r="10" ht="15.0" customHeight="1">
      <c r="A10" s="9" t="s">
        <v>140</v>
      </c>
      <c r="B10" s="33"/>
      <c r="C10" s="10"/>
      <c r="D10" s="11"/>
      <c r="E10" s="12" t="str">
        <f t="shared" si="1"/>
        <v>-</v>
      </c>
      <c r="F10" s="11"/>
      <c r="G10" s="13" t="str">
        <f t="shared" si="2"/>
        <v>-</v>
      </c>
      <c r="H10" s="12" t="str">
        <f t="shared" si="3"/>
        <v>-</v>
      </c>
      <c r="I10" s="11"/>
      <c r="J10" s="11"/>
      <c r="K10" s="12" t="str">
        <f t="shared" si="4"/>
        <v>-</v>
      </c>
      <c r="L10" s="11"/>
      <c r="M10" s="13" t="str">
        <f t="shared" si="5"/>
        <v>-</v>
      </c>
      <c r="N10" s="11"/>
      <c r="O10" s="14">
        <f t="shared" si="6"/>
        <v>0</v>
      </c>
      <c r="P10" s="12" t="str">
        <f t="shared" si="7"/>
        <v>-</v>
      </c>
      <c r="Q10" s="11"/>
      <c r="R10" s="13" t="str">
        <f t="shared" si="8"/>
        <v>-</v>
      </c>
      <c r="S10" s="10"/>
      <c r="T10" s="10"/>
      <c r="U10" s="12" t="str">
        <f t="shared" si="9"/>
        <v>-</v>
      </c>
      <c r="V10" s="13" t="str">
        <f t="shared" si="10"/>
        <v>-</v>
      </c>
      <c r="W10" s="33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</row>
  </sheetData>
  <mergeCells count="1">
    <mergeCell ref="A1:W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7043"/>
    <pageSetUpPr/>
  </sheetPr>
  <sheetViews>
    <sheetView workbookViewId="0"/>
  </sheetViews>
  <sheetFormatPr customHeight="1" defaultColWidth="14.43" defaultRowHeight="15.0"/>
  <cols>
    <col customWidth="1" min="1" max="19" width="12.0"/>
    <col customWidth="1" min="20" max="26" width="8.71"/>
  </cols>
  <sheetData>
    <row r="1" ht="17.25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5.0" customHeight="1">
      <c r="A2" s="51" t="s">
        <v>142</v>
      </c>
      <c r="B2" s="51" t="s">
        <v>143</v>
      </c>
      <c r="C2" s="51" t="s">
        <v>144</v>
      </c>
      <c r="D2" s="51" t="s">
        <v>145</v>
      </c>
      <c r="E2" s="51" t="s">
        <v>146</v>
      </c>
      <c r="F2" s="51" t="s">
        <v>18</v>
      </c>
      <c r="G2" s="51" t="s">
        <v>77</v>
      </c>
      <c r="H2" s="51" t="s">
        <v>147</v>
      </c>
      <c r="I2" s="51" t="s">
        <v>78</v>
      </c>
      <c r="J2" s="51" t="s">
        <v>27</v>
      </c>
      <c r="K2" s="51" t="s">
        <v>29</v>
      </c>
      <c r="L2" s="51" t="s">
        <v>148</v>
      </c>
      <c r="M2" s="51" t="s">
        <v>149</v>
      </c>
      <c r="N2" s="51" t="s">
        <v>150</v>
      </c>
      <c r="O2" s="51" t="s">
        <v>80</v>
      </c>
      <c r="P2" s="51" t="s">
        <v>151</v>
      </c>
      <c r="Q2" s="51" t="s">
        <v>152</v>
      </c>
      <c r="R2" s="51" t="s">
        <v>123</v>
      </c>
      <c r="S2" s="51" t="s">
        <v>153</v>
      </c>
    </row>
    <row r="3" ht="15.0" customHeight="1">
      <c r="A3" s="52">
        <v>1.0</v>
      </c>
      <c r="B3" s="53" t="str">
        <f>'Février 2026'!B4</f>
        <v/>
      </c>
      <c r="C3" s="53" t="str">
        <f>'Février 2026'!D4</f>
        <v>-</v>
      </c>
      <c r="D3" s="53" t="str">
        <f>'Février 2026'!G4</f>
        <v>-</v>
      </c>
      <c r="E3" s="54" t="str">
        <f>'Février 2026'!F4</f>
        <v>-</v>
      </c>
      <c r="F3" s="55" t="str">
        <f>'Février 2026'!I4</f>
        <v/>
      </c>
      <c r="G3" s="55" t="str">
        <f>'Février 2026'!K4</f>
        <v/>
      </c>
      <c r="H3" s="53" t="str">
        <f>'Février 2026'!L4</f>
        <v>-</v>
      </c>
      <c r="I3" s="55" t="str">
        <f>'Février 2026'!O4</f>
        <v/>
      </c>
      <c r="J3" s="55" t="str">
        <f>'Février 2026'!R4</f>
        <v/>
      </c>
      <c r="K3" s="55">
        <f>'Février 2026'!T4</f>
        <v>0</v>
      </c>
      <c r="L3" s="53" t="str">
        <f>'Février 2026'!V4</f>
        <v>-</v>
      </c>
      <c r="M3" s="53" t="str">
        <f>'Février 2026'!W4</f>
        <v>-</v>
      </c>
      <c r="N3" s="53" t="str">
        <f>'Février 2026'!X4</f>
        <v>-</v>
      </c>
      <c r="O3" s="55" t="str">
        <f>'Février 2026'!Y4</f>
        <v/>
      </c>
      <c r="P3" s="54" t="str">
        <f>'Février 2026'!Z4</f>
        <v>-</v>
      </c>
      <c r="Q3" s="53" t="str">
        <f>'Février 2026'!AA4</f>
        <v/>
      </c>
      <c r="R3" s="53">
        <f>'Février 2026'!AD4</f>
        <v>0</v>
      </c>
      <c r="S3" s="54" t="str">
        <f>'Février 2026'!AF4</f>
        <v>-</v>
      </c>
    </row>
    <row r="4" ht="15.0" customHeight="1">
      <c r="A4" s="56">
        <v>2.0</v>
      </c>
      <c r="B4" s="57" t="str">
        <f>'Février 2026'!B5</f>
        <v/>
      </c>
      <c r="C4" s="57" t="str">
        <f>'Février 2026'!D5</f>
        <v>-</v>
      </c>
      <c r="D4" s="57" t="str">
        <f>'Février 2026'!G5</f>
        <v>-</v>
      </c>
      <c r="E4" s="58" t="str">
        <f>'Février 2026'!F5</f>
        <v>-</v>
      </c>
      <c r="F4" s="59" t="str">
        <f>'Février 2026'!I5</f>
        <v/>
      </c>
      <c r="G4" s="59" t="str">
        <f>'Février 2026'!K5</f>
        <v/>
      </c>
      <c r="H4" s="57" t="str">
        <f>'Février 2026'!L5</f>
        <v>-</v>
      </c>
      <c r="I4" s="59" t="str">
        <f>'Février 2026'!O5</f>
        <v/>
      </c>
      <c r="J4" s="59" t="str">
        <f>'Février 2026'!R5</f>
        <v/>
      </c>
      <c r="K4" s="59">
        <f>'Février 2026'!T5</f>
        <v>0</v>
      </c>
      <c r="L4" s="57" t="str">
        <f>'Février 2026'!V5</f>
        <v>-</v>
      </c>
      <c r="M4" s="57" t="str">
        <f>'Février 2026'!W5</f>
        <v>-</v>
      </c>
      <c r="N4" s="57" t="str">
        <f>'Février 2026'!X5</f>
        <v>-</v>
      </c>
      <c r="O4" s="59" t="str">
        <f>'Février 2026'!Y5</f>
        <v/>
      </c>
      <c r="P4" s="58" t="str">
        <f>'Février 2026'!Z5</f>
        <v>-</v>
      </c>
      <c r="Q4" s="57" t="str">
        <f>'Février 2026'!AA5</f>
        <v/>
      </c>
      <c r="R4" s="57">
        <f>'Février 2026'!AD5</f>
        <v>0</v>
      </c>
      <c r="S4" s="58" t="str">
        <f>'Février 2026'!AF5</f>
        <v>-</v>
      </c>
    </row>
    <row r="5" ht="15.0" customHeight="1">
      <c r="A5" s="52">
        <v>3.0</v>
      </c>
      <c r="B5" s="53" t="str">
        <f>'Février 2026'!B6</f>
        <v/>
      </c>
      <c r="C5" s="53" t="str">
        <f>'Février 2026'!D6</f>
        <v>-</v>
      </c>
      <c r="D5" s="53" t="str">
        <f>'Février 2026'!G6</f>
        <v>-</v>
      </c>
      <c r="E5" s="54" t="str">
        <f>'Février 2026'!F6</f>
        <v>-</v>
      </c>
      <c r="F5" s="55" t="str">
        <f>'Février 2026'!I6</f>
        <v/>
      </c>
      <c r="G5" s="55" t="str">
        <f>'Février 2026'!K6</f>
        <v/>
      </c>
      <c r="H5" s="53" t="str">
        <f>'Février 2026'!L6</f>
        <v>-</v>
      </c>
      <c r="I5" s="55" t="str">
        <f>'Février 2026'!O6</f>
        <v/>
      </c>
      <c r="J5" s="55" t="str">
        <f>'Février 2026'!R6</f>
        <v/>
      </c>
      <c r="K5" s="55">
        <f>'Février 2026'!T6</f>
        <v>0</v>
      </c>
      <c r="L5" s="53" t="str">
        <f>'Février 2026'!V6</f>
        <v>-</v>
      </c>
      <c r="M5" s="53" t="str">
        <f>'Février 2026'!W6</f>
        <v>-</v>
      </c>
      <c r="N5" s="53" t="str">
        <f>'Février 2026'!X6</f>
        <v>-</v>
      </c>
      <c r="O5" s="55" t="str">
        <f>'Février 2026'!Y6</f>
        <v/>
      </c>
      <c r="P5" s="54" t="str">
        <f>'Février 2026'!Z6</f>
        <v>-</v>
      </c>
      <c r="Q5" s="53" t="str">
        <f>'Février 2026'!AA6</f>
        <v/>
      </c>
      <c r="R5" s="53">
        <f>'Février 2026'!AD6</f>
        <v>0</v>
      </c>
      <c r="S5" s="54" t="str">
        <f>'Février 2026'!AF6</f>
        <v>-</v>
      </c>
    </row>
    <row r="6" ht="15.0" customHeight="1">
      <c r="A6" s="56">
        <v>4.0</v>
      </c>
      <c r="B6" s="57" t="str">
        <f>'Février 2026'!B7</f>
        <v/>
      </c>
      <c r="C6" s="57" t="str">
        <f>'Février 2026'!D7</f>
        <v>-</v>
      </c>
      <c r="D6" s="57" t="str">
        <f>'Février 2026'!G7</f>
        <v>-</v>
      </c>
      <c r="E6" s="58" t="str">
        <f>'Février 2026'!F7</f>
        <v>-</v>
      </c>
      <c r="F6" s="59" t="str">
        <f>'Février 2026'!I7</f>
        <v/>
      </c>
      <c r="G6" s="59" t="str">
        <f>'Février 2026'!K7</f>
        <v/>
      </c>
      <c r="H6" s="57" t="str">
        <f>'Février 2026'!L7</f>
        <v>-</v>
      </c>
      <c r="I6" s="59" t="str">
        <f>'Février 2026'!O7</f>
        <v/>
      </c>
      <c r="J6" s="59" t="str">
        <f>'Février 2026'!R7</f>
        <v/>
      </c>
      <c r="K6" s="59">
        <f>'Février 2026'!T7</f>
        <v>0</v>
      </c>
      <c r="L6" s="57" t="str">
        <f>'Février 2026'!V7</f>
        <v>-</v>
      </c>
      <c r="M6" s="57" t="str">
        <f>'Février 2026'!W7</f>
        <v>-</v>
      </c>
      <c r="N6" s="57" t="str">
        <f>'Février 2026'!X7</f>
        <v>-</v>
      </c>
      <c r="O6" s="59" t="str">
        <f>'Février 2026'!Y7</f>
        <v/>
      </c>
      <c r="P6" s="58" t="str">
        <f>'Février 2026'!Z7</f>
        <v>-</v>
      </c>
      <c r="Q6" s="57" t="str">
        <f>'Février 2026'!AA7</f>
        <v/>
      </c>
      <c r="R6" s="57">
        <f>'Février 2026'!AD7</f>
        <v>0</v>
      </c>
      <c r="S6" s="58" t="str">
        <f>'Février 2026'!AF7</f>
        <v>-</v>
      </c>
    </row>
    <row r="7" ht="15.0" customHeight="1">
      <c r="A7" s="52">
        <v>5.0</v>
      </c>
      <c r="B7" s="53" t="str">
        <f>'Février 2026'!B8</f>
        <v/>
      </c>
      <c r="C7" s="53" t="str">
        <f>'Février 2026'!D8</f>
        <v>-</v>
      </c>
      <c r="D7" s="53" t="str">
        <f>'Février 2026'!G8</f>
        <v>-</v>
      </c>
      <c r="E7" s="54" t="str">
        <f>'Février 2026'!F8</f>
        <v>-</v>
      </c>
      <c r="F7" s="55" t="str">
        <f>'Février 2026'!I8</f>
        <v/>
      </c>
      <c r="G7" s="55" t="str">
        <f>'Février 2026'!K8</f>
        <v/>
      </c>
      <c r="H7" s="53" t="str">
        <f>'Février 2026'!L8</f>
        <v>-</v>
      </c>
      <c r="I7" s="55" t="str">
        <f>'Février 2026'!O8</f>
        <v/>
      </c>
      <c r="J7" s="55" t="str">
        <f>'Février 2026'!R8</f>
        <v/>
      </c>
      <c r="K7" s="55">
        <f>'Février 2026'!T8</f>
        <v>0</v>
      </c>
      <c r="L7" s="53" t="str">
        <f>'Février 2026'!V8</f>
        <v>-</v>
      </c>
      <c r="M7" s="53" t="str">
        <f>'Février 2026'!W8</f>
        <v>-</v>
      </c>
      <c r="N7" s="53" t="str">
        <f>'Février 2026'!X8</f>
        <v>-</v>
      </c>
      <c r="O7" s="55" t="str">
        <f>'Février 2026'!Y8</f>
        <v/>
      </c>
      <c r="P7" s="54" t="str">
        <f>'Février 2026'!Z8</f>
        <v>-</v>
      </c>
      <c r="Q7" s="53" t="str">
        <f>'Février 2026'!AA8</f>
        <v/>
      </c>
      <c r="R7" s="53">
        <f>'Février 2026'!AD8</f>
        <v>0</v>
      </c>
      <c r="S7" s="54" t="str">
        <f>'Février 2026'!AF8</f>
        <v>-</v>
      </c>
    </row>
    <row r="8" ht="15.0" customHeight="1">
      <c r="A8" s="56">
        <v>6.0</v>
      </c>
      <c r="B8" s="57" t="str">
        <f>'Février 2026'!B9</f>
        <v/>
      </c>
      <c r="C8" s="57" t="str">
        <f>'Février 2026'!D9</f>
        <v>-</v>
      </c>
      <c r="D8" s="57" t="str">
        <f>'Février 2026'!G9</f>
        <v>-</v>
      </c>
      <c r="E8" s="58" t="str">
        <f>'Février 2026'!F9</f>
        <v>-</v>
      </c>
      <c r="F8" s="59" t="str">
        <f>'Février 2026'!I9</f>
        <v/>
      </c>
      <c r="G8" s="59" t="str">
        <f>'Février 2026'!K9</f>
        <v/>
      </c>
      <c r="H8" s="57" t="str">
        <f>'Février 2026'!L9</f>
        <v>-</v>
      </c>
      <c r="I8" s="59" t="str">
        <f>'Février 2026'!O9</f>
        <v/>
      </c>
      <c r="J8" s="59" t="str">
        <f>'Février 2026'!R9</f>
        <v/>
      </c>
      <c r="K8" s="59">
        <f>'Février 2026'!T9</f>
        <v>0</v>
      </c>
      <c r="L8" s="57" t="str">
        <f>'Février 2026'!V9</f>
        <v>-</v>
      </c>
      <c r="M8" s="57" t="str">
        <f>'Février 2026'!W9</f>
        <v>-</v>
      </c>
      <c r="N8" s="57" t="str">
        <f>'Février 2026'!X9</f>
        <v>-</v>
      </c>
      <c r="O8" s="59" t="str">
        <f>'Février 2026'!Y9</f>
        <v/>
      </c>
      <c r="P8" s="58" t="str">
        <f>'Février 2026'!Z9</f>
        <v>-</v>
      </c>
      <c r="Q8" s="57" t="str">
        <f>'Février 2026'!AA9</f>
        <v/>
      </c>
      <c r="R8" s="57">
        <f>'Février 2026'!AD9</f>
        <v>0</v>
      </c>
      <c r="S8" s="58" t="str">
        <f>'Février 2026'!AF9</f>
        <v>-</v>
      </c>
    </row>
    <row r="9" ht="15.0" customHeight="1">
      <c r="A9" s="52">
        <v>7.0</v>
      </c>
      <c r="B9" s="53" t="str">
        <f>'Février 2026'!B10</f>
        <v/>
      </c>
      <c r="C9" s="53" t="str">
        <f>'Février 2026'!D10</f>
        <v>-</v>
      </c>
      <c r="D9" s="53" t="str">
        <f>'Février 2026'!G10</f>
        <v>-</v>
      </c>
      <c r="E9" s="54" t="str">
        <f>'Février 2026'!F10</f>
        <v>-</v>
      </c>
      <c r="F9" s="55" t="str">
        <f>'Février 2026'!I10</f>
        <v/>
      </c>
      <c r="G9" s="55" t="str">
        <f>'Février 2026'!K10</f>
        <v/>
      </c>
      <c r="H9" s="53" t="str">
        <f>'Février 2026'!L10</f>
        <v>-</v>
      </c>
      <c r="I9" s="55" t="str">
        <f>'Février 2026'!O10</f>
        <v/>
      </c>
      <c r="J9" s="55" t="str">
        <f>'Février 2026'!R10</f>
        <v/>
      </c>
      <c r="K9" s="55">
        <f>'Février 2026'!T10</f>
        <v>0</v>
      </c>
      <c r="L9" s="53" t="str">
        <f>'Février 2026'!V10</f>
        <v>-</v>
      </c>
      <c r="M9" s="53" t="str">
        <f>'Février 2026'!W10</f>
        <v>-</v>
      </c>
      <c r="N9" s="53" t="str">
        <f>'Février 2026'!X10</f>
        <v>-</v>
      </c>
      <c r="O9" s="55" t="str">
        <f>'Février 2026'!Y10</f>
        <v/>
      </c>
      <c r="P9" s="54" t="str">
        <f>'Février 2026'!Z10</f>
        <v>-</v>
      </c>
      <c r="Q9" s="53" t="str">
        <f>'Février 2026'!AA10</f>
        <v/>
      </c>
      <c r="R9" s="53">
        <f>'Février 2026'!AD10</f>
        <v>0</v>
      </c>
      <c r="S9" s="54" t="str">
        <f>'Février 2026'!AF10</f>
        <v>-</v>
      </c>
    </row>
    <row r="10" ht="15.0" customHeight="1">
      <c r="A10" s="56">
        <v>8.0</v>
      </c>
      <c r="B10" s="57" t="str">
        <f>'Février 2026'!B11</f>
        <v/>
      </c>
      <c r="C10" s="57" t="str">
        <f>'Février 2026'!D11</f>
        <v>-</v>
      </c>
      <c r="D10" s="57" t="str">
        <f>'Février 2026'!G11</f>
        <v>-</v>
      </c>
      <c r="E10" s="58" t="str">
        <f>'Février 2026'!F11</f>
        <v>-</v>
      </c>
      <c r="F10" s="59" t="str">
        <f>'Février 2026'!I11</f>
        <v/>
      </c>
      <c r="G10" s="59" t="str">
        <f>'Février 2026'!K11</f>
        <v/>
      </c>
      <c r="H10" s="57" t="str">
        <f>'Février 2026'!L11</f>
        <v>-</v>
      </c>
      <c r="I10" s="59" t="str">
        <f>'Février 2026'!O11</f>
        <v/>
      </c>
      <c r="J10" s="59" t="str">
        <f>'Février 2026'!R11</f>
        <v/>
      </c>
      <c r="K10" s="59">
        <f>'Février 2026'!T11</f>
        <v>0</v>
      </c>
      <c r="L10" s="57" t="str">
        <f>'Février 2026'!V11</f>
        <v>-</v>
      </c>
      <c r="M10" s="57" t="str">
        <f>'Février 2026'!W11</f>
        <v>-</v>
      </c>
      <c r="N10" s="57" t="str">
        <f>'Février 2026'!X11</f>
        <v>-</v>
      </c>
      <c r="O10" s="59" t="str">
        <f>'Février 2026'!Y11</f>
        <v/>
      </c>
      <c r="P10" s="58" t="str">
        <f>'Février 2026'!Z11</f>
        <v>-</v>
      </c>
      <c r="Q10" s="57" t="str">
        <f>'Février 2026'!AA11</f>
        <v/>
      </c>
      <c r="R10" s="57">
        <f>'Février 2026'!AD11</f>
        <v>0</v>
      </c>
      <c r="S10" s="58" t="str">
        <f>'Février 2026'!AF11</f>
        <v>-</v>
      </c>
    </row>
    <row r="11" ht="15.0" customHeight="1">
      <c r="A11" s="52">
        <v>9.0</v>
      </c>
      <c r="B11" s="53" t="str">
        <f>'Février 2026'!B12</f>
        <v/>
      </c>
      <c r="C11" s="53" t="str">
        <f>'Février 2026'!D12</f>
        <v>-</v>
      </c>
      <c r="D11" s="53" t="str">
        <f>'Février 2026'!G12</f>
        <v>-</v>
      </c>
      <c r="E11" s="54" t="str">
        <f>'Février 2026'!F12</f>
        <v>-</v>
      </c>
      <c r="F11" s="55" t="str">
        <f>'Février 2026'!I12</f>
        <v/>
      </c>
      <c r="G11" s="55" t="str">
        <f>'Février 2026'!K12</f>
        <v/>
      </c>
      <c r="H11" s="53" t="str">
        <f>'Février 2026'!L12</f>
        <v>-</v>
      </c>
      <c r="I11" s="55" t="str">
        <f>'Février 2026'!O12</f>
        <v/>
      </c>
      <c r="J11" s="55" t="str">
        <f>'Février 2026'!R12</f>
        <v/>
      </c>
      <c r="K11" s="55">
        <f>'Février 2026'!T12</f>
        <v>0</v>
      </c>
      <c r="L11" s="53" t="str">
        <f>'Février 2026'!V12</f>
        <v>-</v>
      </c>
      <c r="M11" s="53" t="str">
        <f>'Février 2026'!W12</f>
        <v>-</v>
      </c>
      <c r="N11" s="53" t="str">
        <f>'Février 2026'!X12</f>
        <v>-</v>
      </c>
      <c r="O11" s="55" t="str">
        <f>'Février 2026'!Y12</f>
        <v/>
      </c>
      <c r="P11" s="54" t="str">
        <f>'Février 2026'!Z12</f>
        <v>-</v>
      </c>
      <c r="Q11" s="53" t="str">
        <f>'Février 2026'!AA12</f>
        <v/>
      </c>
      <c r="R11" s="53">
        <f>'Février 2026'!AD12</f>
        <v>0</v>
      </c>
      <c r="S11" s="54" t="str">
        <f>'Février 2026'!AF12</f>
        <v>-</v>
      </c>
    </row>
    <row r="12" ht="15.0" customHeight="1">
      <c r="A12" s="56">
        <v>10.0</v>
      </c>
      <c r="B12" s="57" t="str">
        <f>'Février 2026'!B13</f>
        <v/>
      </c>
      <c r="C12" s="57" t="str">
        <f>'Février 2026'!D13</f>
        <v>-</v>
      </c>
      <c r="D12" s="57" t="str">
        <f>'Février 2026'!G13</f>
        <v>-</v>
      </c>
      <c r="E12" s="58" t="str">
        <f>'Février 2026'!F13</f>
        <v>-</v>
      </c>
      <c r="F12" s="59" t="str">
        <f>'Février 2026'!I13</f>
        <v/>
      </c>
      <c r="G12" s="59" t="str">
        <f>'Février 2026'!K13</f>
        <v/>
      </c>
      <c r="H12" s="57" t="str">
        <f>'Février 2026'!L13</f>
        <v>-</v>
      </c>
      <c r="I12" s="59" t="str">
        <f>'Février 2026'!O13</f>
        <v/>
      </c>
      <c r="J12" s="59" t="str">
        <f>'Février 2026'!R13</f>
        <v/>
      </c>
      <c r="K12" s="59">
        <f>'Février 2026'!T13</f>
        <v>0</v>
      </c>
      <c r="L12" s="57" t="str">
        <f>'Février 2026'!V13</f>
        <v>-</v>
      </c>
      <c r="M12" s="57" t="str">
        <f>'Février 2026'!W13</f>
        <v>-</v>
      </c>
      <c r="N12" s="57" t="str">
        <f>'Février 2026'!X13</f>
        <v>-</v>
      </c>
      <c r="O12" s="59" t="str">
        <f>'Février 2026'!Y13</f>
        <v/>
      </c>
      <c r="P12" s="58" t="str">
        <f>'Février 2026'!Z13</f>
        <v>-</v>
      </c>
      <c r="Q12" s="57" t="str">
        <f>'Février 2026'!AA13</f>
        <v/>
      </c>
      <c r="R12" s="57">
        <f>'Février 2026'!AD13</f>
        <v>0</v>
      </c>
      <c r="S12" s="58" t="str">
        <f>'Février 2026'!AF13</f>
        <v>-</v>
      </c>
    </row>
    <row r="13" ht="15.0" customHeight="1">
      <c r="A13" s="52">
        <v>11.0</v>
      </c>
      <c r="B13" s="53" t="str">
        <f>'Février 2026'!B14</f>
        <v/>
      </c>
      <c r="C13" s="53" t="str">
        <f>'Février 2026'!D14</f>
        <v>-</v>
      </c>
      <c r="D13" s="53" t="str">
        <f>'Février 2026'!G14</f>
        <v>-</v>
      </c>
      <c r="E13" s="54" t="str">
        <f>'Février 2026'!F14</f>
        <v>-</v>
      </c>
      <c r="F13" s="55" t="str">
        <f>'Février 2026'!I14</f>
        <v/>
      </c>
      <c r="G13" s="55" t="str">
        <f>'Février 2026'!K14</f>
        <v/>
      </c>
      <c r="H13" s="53" t="str">
        <f>'Février 2026'!L14</f>
        <v>-</v>
      </c>
      <c r="I13" s="55" t="str">
        <f>'Février 2026'!O14</f>
        <v/>
      </c>
      <c r="J13" s="55" t="str">
        <f>'Février 2026'!R14</f>
        <v/>
      </c>
      <c r="K13" s="55">
        <f>'Février 2026'!T14</f>
        <v>0</v>
      </c>
      <c r="L13" s="53" t="str">
        <f>'Février 2026'!V14</f>
        <v>-</v>
      </c>
      <c r="M13" s="53" t="str">
        <f>'Février 2026'!W14</f>
        <v>-</v>
      </c>
      <c r="N13" s="53" t="str">
        <f>'Février 2026'!X14</f>
        <v>-</v>
      </c>
      <c r="O13" s="55" t="str">
        <f>'Février 2026'!Y14</f>
        <v/>
      </c>
      <c r="P13" s="54" t="str">
        <f>'Février 2026'!Z14</f>
        <v>-</v>
      </c>
      <c r="Q13" s="53" t="str">
        <f>'Février 2026'!AA14</f>
        <v/>
      </c>
      <c r="R13" s="53">
        <f>'Février 2026'!AD14</f>
        <v>0</v>
      </c>
      <c r="S13" s="54" t="str">
        <f>'Février 2026'!AF14</f>
        <v>-</v>
      </c>
    </row>
    <row r="14" ht="15.0" customHeight="1">
      <c r="A14" s="56">
        <v>12.0</v>
      </c>
      <c r="B14" s="57" t="str">
        <f>'Février 2026'!B15</f>
        <v/>
      </c>
      <c r="C14" s="57" t="str">
        <f>'Février 2026'!D15</f>
        <v>-</v>
      </c>
      <c r="D14" s="57" t="str">
        <f>'Février 2026'!G15</f>
        <v>-</v>
      </c>
      <c r="E14" s="58" t="str">
        <f>'Février 2026'!F15</f>
        <v>-</v>
      </c>
      <c r="F14" s="59" t="str">
        <f>'Février 2026'!I15</f>
        <v/>
      </c>
      <c r="G14" s="59" t="str">
        <f>'Février 2026'!K15</f>
        <v/>
      </c>
      <c r="H14" s="57" t="str">
        <f>'Février 2026'!L15</f>
        <v>-</v>
      </c>
      <c r="I14" s="59" t="str">
        <f>'Février 2026'!O15</f>
        <v/>
      </c>
      <c r="J14" s="59" t="str">
        <f>'Février 2026'!R15</f>
        <v/>
      </c>
      <c r="K14" s="59">
        <f>'Février 2026'!T15</f>
        <v>0</v>
      </c>
      <c r="L14" s="57" t="str">
        <f>'Février 2026'!V15</f>
        <v>-</v>
      </c>
      <c r="M14" s="57" t="str">
        <f>'Février 2026'!W15</f>
        <v>-</v>
      </c>
      <c r="N14" s="57" t="str">
        <f>'Février 2026'!X15</f>
        <v>-</v>
      </c>
      <c r="O14" s="59" t="str">
        <f>'Février 2026'!Y15</f>
        <v/>
      </c>
      <c r="P14" s="58" t="str">
        <f>'Février 2026'!Z15</f>
        <v>-</v>
      </c>
      <c r="Q14" s="57" t="str">
        <f>'Février 2026'!AA15</f>
        <v/>
      </c>
      <c r="R14" s="57">
        <f>'Février 2026'!AD15</f>
        <v>0</v>
      </c>
      <c r="S14" s="58" t="str">
        <f>'Février 2026'!AF15</f>
        <v>-</v>
      </c>
    </row>
    <row r="15" ht="15.0" customHeight="1">
      <c r="A15" s="52">
        <v>13.0</v>
      </c>
      <c r="B15" s="53" t="str">
        <f>'Février 2026'!B16</f>
        <v/>
      </c>
      <c r="C15" s="53" t="str">
        <f>'Février 2026'!D16</f>
        <v>-</v>
      </c>
      <c r="D15" s="53" t="str">
        <f>'Février 2026'!G16</f>
        <v>-</v>
      </c>
      <c r="E15" s="54" t="str">
        <f>'Février 2026'!F16</f>
        <v>-</v>
      </c>
      <c r="F15" s="55" t="str">
        <f>'Février 2026'!I16</f>
        <v/>
      </c>
      <c r="G15" s="55" t="str">
        <f>'Février 2026'!K16</f>
        <v/>
      </c>
      <c r="H15" s="53" t="str">
        <f>'Février 2026'!L16</f>
        <v>-</v>
      </c>
      <c r="I15" s="55" t="str">
        <f>'Février 2026'!O16</f>
        <v/>
      </c>
      <c r="J15" s="55" t="str">
        <f>'Février 2026'!R16</f>
        <v/>
      </c>
      <c r="K15" s="55">
        <f>'Février 2026'!T16</f>
        <v>0</v>
      </c>
      <c r="L15" s="53" t="str">
        <f>'Février 2026'!V16</f>
        <v>-</v>
      </c>
      <c r="M15" s="53" t="str">
        <f>'Février 2026'!W16</f>
        <v>-</v>
      </c>
      <c r="N15" s="53" t="str">
        <f>'Février 2026'!X16</f>
        <v>-</v>
      </c>
      <c r="O15" s="55" t="str">
        <f>'Février 2026'!Y16</f>
        <v/>
      </c>
      <c r="P15" s="54" t="str">
        <f>'Février 2026'!Z16</f>
        <v>-</v>
      </c>
      <c r="Q15" s="53" t="str">
        <f>'Février 2026'!AA16</f>
        <v/>
      </c>
      <c r="R15" s="53">
        <f>'Février 2026'!AD16</f>
        <v>0</v>
      </c>
      <c r="S15" s="54" t="str">
        <f>'Février 2026'!AF16</f>
        <v>-</v>
      </c>
    </row>
    <row r="16" ht="15.0" customHeight="1">
      <c r="A16" s="56">
        <v>14.0</v>
      </c>
      <c r="B16" s="57" t="str">
        <f>'Février 2026'!B17</f>
        <v/>
      </c>
      <c r="C16" s="57" t="str">
        <f>'Février 2026'!D17</f>
        <v>-</v>
      </c>
      <c r="D16" s="57" t="str">
        <f>'Février 2026'!G17</f>
        <v>-</v>
      </c>
      <c r="E16" s="58" t="str">
        <f>'Février 2026'!F17</f>
        <v>-</v>
      </c>
      <c r="F16" s="59" t="str">
        <f>'Février 2026'!I17</f>
        <v/>
      </c>
      <c r="G16" s="59" t="str">
        <f>'Février 2026'!K17</f>
        <v/>
      </c>
      <c r="H16" s="57" t="str">
        <f>'Février 2026'!L17</f>
        <v>-</v>
      </c>
      <c r="I16" s="59" t="str">
        <f>'Février 2026'!O17</f>
        <v/>
      </c>
      <c r="J16" s="59" t="str">
        <f>'Février 2026'!R17</f>
        <v/>
      </c>
      <c r="K16" s="59">
        <f>'Février 2026'!T17</f>
        <v>0</v>
      </c>
      <c r="L16" s="57" t="str">
        <f>'Février 2026'!V17</f>
        <v>-</v>
      </c>
      <c r="M16" s="57" t="str">
        <f>'Février 2026'!W17</f>
        <v>-</v>
      </c>
      <c r="N16" s="57" t="str">
        <f>'Février 2026'!X17</f>
        <v>-</v>
      </c>
      <c r="O16" s="59" t="str">
        <f>'Février 2026'!Y17</f>
        <v/>
      </c>
      <c r="P16" s="58" t="str">
        <f>'Février 2026'!Z17</f>
        <v>-</v>
      </c>
      <c r="Q16" s="57" t="str">
        <f>'Février 2026'!AA17</f>
        <v/>
      </c>
      <c r="R16" s="57">
        <f>'Février 2026'!AD17</f>
        <v>0</v>
      </c>
      <c r="S16" s="58" t="str">
        <f>'Février 2026'!AF17</f>
        <v>-</v>
      </c>
    </row>
    <row r="17" ht="15.0" customHeight="1">
      <c r="A17" s="52">
        <v>15.0</v>
      </c>
      <c r="B17" s="53" t="str">
        <f>'Février 2026'!B18</f>
        <v/>
      </c>
      <c r="C17" s="53" t="str">
        <f>'Février 2026'!D18</f>
        <v>-</v>
      </c>
      <c r="D17" s="53" t="str">
        <f>'Février 2026'!G18</f>
        <v>-</v>
      </c>
      <c r="E17" s="54" t="str">
        <f>'Février 2026'!F18</f>
        <v>-</v>
      </c>
      <c r="F17" s="55" t="str">
        <f>'Février 2026'!I18</f>
        <v/>
      </c>
      <c r="G17" s="55" t="str">
        <f>'Février 2026'!K18</f>
        <v/>
      </c>
      <c r="H17" s="53" t="str">
        <f>'Février 2026'!L18</f>
        <v>-</v>
      </c>
      <c r="I17" s="55" t="str">
        <f>'Février 2026'!O18</f>
        <v/>
      </c>
      <c r="J17" s="55" t="str">
        <f>'Février 2026'!R18</f>
        <v/>
      </c>
      <c r="K17" s="55">
        <f>'Février 2026'!T18</f>
        <v>0</v>
      </c>
      <c r="L17" s="53" t="str">
        <f>'Février 2026'!V18</f>
        <v>-</v>
      </c>
      <c r="M17" s="53" t="str">
        <f>'Février 2026'!W18</f>
        <v>-</v>
      </c>
      <c r="N17" s="53" t="str">
        <f>'Février 2026'!X18</f>
        <v>-</v>
      </c>
      <c r="O17" s="55" t="str">
        <f>'Février 2026'!Y18</f>
        <v/>
      </c>
      <c r="P17" s="54" t="str">
        <f>'Février 2026'!Z18</f>
        <v>-</v>
      </c>
      <c r="Q17" s="53" t="str">
        <f>'Février 2026'!AA18</f>
        <v/>
      </c>
      <c r="R17" s="53">
        <f>'Février 2026'!AD18</f>
        <v>0</v>
      </c>
      <c r="S17" s="54" t="str">
        <f>'Février 2026'!AF18</f>
        <v>-</v>
      </c>
    </row>
    <row r="18" ht="15.0" customHeight="1">
      <c r="A18" s="56">
        <v>16.0</v>
      </c>
      <c r="B18" s="57" t="str">
        <f>'Février 2026'!B19</f>
        <v/>
      </c>
      <c r="C18" s="57" t="str">
        <f>'Février 2026'!D19</f>
        <v>-</v>
      </c>
      <c r="D18" s="57" t="str">
        <f>'Février 2026'!G19</f>
        <v>-</v>
      </c>
      <c r="E18" s="58" t="str">
        <f>'Février 2026'!F19</f>
        <v>-</v>
      </c>
      <c r="F18" s="59" t="str">
        <f>'Février 2026'!I19</f>
        <v/>
      </c>
      <c r="G18" s="59" t="str">
        <f>'Février 2026'!K19</f>
        <v/>
      </c>
      <c r="H18" s="57" t="str">
        <f>'Février 2026'!L19</f>
        <v>-</v>
      </c>
      <c r="I18" s="59" t="str">
        <f>'Février 2026'!O19</f>
        <v/>
      </c>
      <c r="J18" s="59" t="str">
        <f>'Février 2026'!R19</f>
        <v/>
      </c>
      <c r="K18" s="59">
        <f>'Février 2026'!T19</f>
        <v>0</v>
      </c>
      <c r="L18" s="57" t="str">
        <f>'Février 2026'!V19</f>
        <v>-</v>
      </c>
      <c r="M18" s="57" t="str">
        <f>'Février 2026'!W19</f>
        <v>-</v>
      </c>
      <c r="N18" s="57" t="str">
        <f>'Février 2026'!X19</f>
        <v>-</v>
      </c>
      <c r="O18" s="59" t="str">
        <f>'Février 2026'!Y19</f>
        <v/>
      </c>
      <c r="P18" s="58" t="str">
        <f>'Février 2026'!Z19</f>
        <v>-</v>
      </c>
      <c r="Q18" s="57" t="str">
        <f>'Février 2026'!AA19</f>
        <v/>
      </c>
      <c r="R18" s="57">
        <f>'Février 2026'!AD19</f>
        <v>0</v>
      </c>
      <c r="S18" s="58" t="str">
        <f>'Février 2026'!AF19</f>
        <v>-</v>
      </c>
    </row>
    <row r="19" ht="15.0" customHeight="1">
      <c r="A19" s="52">
        <v>17.0</v>
      </c>
      <c r="B19" s="53" t="str">
        <f>'Février 2026'!B20</f>
        <v/>
      </c>
      <c r="C19" s="53" t="str">
        <f>'Février 2026'!D20</f>
        <v>-</v>
      </c>
      <c r="D19" s="53" t="str">
        <f>'Février 2026'!G20</f>
        <v>-</v>
      </c>
      <c r="E19" s="54" t="str">
        <f>'Février 2026'!F20</f>
        <v>-</v>
      </c>
      <c r="F19" s="55" t="str">
        <f>'Février 2026'!I20</f>
        <v/>
      </c>
      <c r="G19" s="55" t="str">
        <f>'Février 2026'!K20</f>
        <v/>
      </c>
      <c r="H19" s="53" t="str">
        <f>'Février 2026'!L20</f>
        <v>-</v>
      </c>
      <c r="I19" s="55" t="str">
        <f>'Février 2026'!O20</f>
        <v/>
      </c>
      <c r="J19" s="55" t="str">
        <f>'Février 2026'!R20</f>
        <v/>
      </c>
      <c r="K19" s="55">
        <f>'Février 2026'!T20</f>
        <v>0</v>
      </c>
      <c r="L19" s="53" t="str">
        <f>'Février 2026'!V20</f>
        <v>-</v>
      </c>
      <c r="M19" s="53" t="str">
        <f>'Février 2026'!W20</f>
        <v>-</v>
      </c>
      <c r="N19" s="53" t="str">
        <f>'Février 2026'!X20</f>
        <v>-</v>
      </c>
      <c r="O19" s="55" t="str">
        <f>'Février 2026'!Y20</f>
        <v/>
      </c>
      <c r="P19" s="54" t="str">
        <f>'Février 2026'!Z20</f>
        <v>-</v>
      </c>
      <c r="Q19" s="53" t="str">
        <f>'Février 2026'!AA20</f>
        <v/>
      </c>
      <c r="R19" s="53">
        <f>'Février 2026'!AD20</f>
        <v>0</v>
      </c>
      <c r="S19" s="54" t="str">
        <f>'Février 2026'!AF20</f>
        <v>-</v>
      </c>
    </row>
    <row r="20" ht="15.0" customHeight="1">
      <c r="A20" s="56">
        <v>18.0</v>
      </c>
      <c r="B20" s="57" t="str">
        <f>'Février 2026'!B21</f>
        <v/>
      </c>
      <c r="C20" s="57" t="str">
        <f>'Février 2026'!D21</f>
        <v>-</v>
      </c>
      <c r="D20" s="57" t="str">
        <f>'Février 2026'!G21</f>
        <v>-</v>
      </c>
      <c r="E20" s="58" t="str">
        <f>'Février 2026'!F21</f>
        <v>-</v>
      </c>
      <c r="F20" s="59" t="str">
        <f>'Février 2026'!I21</f>
        <v/>
      </c>
      <c r="G20" s="59" t="str">
        <f>'Février 2026'!K21</f>
        <v/>
      </c>
      <c r="H20" s="57" t="str">
        <f>'Février 2026'!L21</f>
        <v>-</v>
      </c>
      <c r="I20" s="59" t="str">
        <f>'Février 2026'!O21</f>
        <v/>
      </c>
      <c r="J20" s="59" t="str">
        <f>'Février 2026'!R21</f>
        <v/>
      </c>
      <c r="K20" s="59">
        <f>'Février 2026'!T21</f>
        <v>0</v>
      </c>
      <c r="L20" s="57" t="str">
        <f>'Février 2026'!V21</f>
        <v>-</v>
      </c>
      <c r="M20" s="57" t="str">
        <f>'Février 2026'!W21</f>
        <v>-</v>
      </c>
      <c r="N20" s="57" t="str">
        <f>'Février 2026'!X21</f>
        <v>-</v>
      </c>
      <c r="O20" s="59" t="str">
        <f>'Février 2026'!Y21</f>
        <v/>
      </c>
      <c r="P20" s="58" t="str">
        <f>'Février 2026'!Z21</f>
        <v>-</v>
      </c>
      <c r="Q20" s="57" t="str">
        <f>'Février 2026'!AA21</f>
        <v/>
      </c>
      <c r="R20" s="57">
        <f>'Février 2026'!AD21</f>
        <v>0</v>
      </c>
      <c r="S20" s="58" t="str">
        <f>'Février 2026'!AF21</f>
        <v>-</v>
      </c>
    </row>
    <row r="21" ht="15.0" customHeight="1">
      <c r="A21" s="52">
        <v>19.0</v>
      </c>
      <c r="B21" s="53" t="str">
        <f>'Février 2026'!B22</f>
        <v/>
      </c>
      <c r="C21" s="53" t="str">
        <f>'Février 2026'!D22</f>
        <v>-</v>
      </c>
      <c r="D21" s="53" t="str">
        <f>'Février 2026'!G22</f>
        <v>-</v>
      </c>
      <c r="E21" s="54" t="str">
        <f>'Février 2026'!F22</f>
        <v>-</v>
      </c>
      <c r="F21" s="55" t="str">
        <f>'Février 2026'!I22</f>
        <v/>
      </c>
      <c r="G21" s="55" t="str">
        <f>'Février 2026'!K22</f>
        <v/>
      </c>
      <c r="H21" s="53" t="str">
        <f>'Février 2026'!L22</f>
        <v>-</v>
      </c>
      <c r="I21" s="55" t="str">
        <f>'Février 2026'!O22</f>
        <v/>
      </c>
      <c r="J21" s="55" t="str">
        <f>'Février 2026'!R22</f>
        <v/>
      </c>
      <c r="K21" s="55">
        <f>'Février 2026'!T22</f>
        <v>0</v>
      </c>
      <c r="L21" s="53" t="str">
        <f>'Février 2026'!V22</f>
        <v>-</v>
      </c>
      <c r="M21" s="53" t="str">
        <f>'Février 2026'!W22</f>
        <v>-</v>
      </c>
      <c r="N21" s="53" t="str">
        <f>'Février 2026'!X22</f>
        <v>-</v>
      </c>
      <c r="O21" s="55" t="str">
        <f>'Février 2026'!Y22</f>
        <v/>
      </c>
      <c r="P21" s="54" t="str">
        <f>'Février 2026'!Z22</f>
        <v>-</v>
      </c>
      <c r="Q21" s="53" t="str">
        <f>'Février 2026'!AA22</f>
        <v/>
      </c>
      <c r="R21" s="53">
        <f>'Février 2026'!AD22</f>
        <v>0</v>
      </c>
      <c r="S21" s="54" t="str">
        <f>'Février 2026'!AF22</f>
        <v>-</v>
      </c>
    </row>
    <row r="22" ht="15.0" customHeight="1">
      <c r="A22" s="56">
        <v>20.0</v>
      </c>
      <c r="B22" s="57" t="str">
        <f>'Février 2026'!B23</f>
        <v/>
      </c>
      <c r="C22" s="57" t="str">
        <f>'Février 2026'!D23</f>
        <v>-</v>
      </c>
      <c r="D22" s="57" t="str">
        <f>'Février 2026'!G23</f>
        <v>-</v>
      </c>
      <c r="E22" s="58" t="str">
        <f>'Février 2026'!F23</f>
        <v>-</v>
      </c>
      <c r="F22" s="59" t="str">
        <f>'Février 2026'!I23</f>
        <v/>
      </c>
      <c r="G22" s="59" t="str">
        <f>'Février 2026'!K23</f>
        <v/>
      </c>
      <c r="H22" s="57" t="str">
        <f>'Février 2026'!L23</f>
        <v>-</v>
      </c>
      <c r="I22" s="59" t="str">
        <f>'Février 2026'!O23</f>
        <v/>
      </c>
      <c r="J22" s="59" t="str">
        <f>'Février 2026'!R23</f>
        <v/>
      </c>
      <c r="K22" s="59">
        <f>'Février 2026'!T23</f>
        <v>0</v>
      </c>
      <c r="L22" s="57" t="str">
        <f>'Février 2026'!V23</f>
        <v>-</v>
      </c>
      <c r="M22" s="57" t="str">
        <f>'Février 2026'!W23</f>
        <v>-</v>
      </c>
      <c r="N22" s="57" t="str">
        <f>'Février 2026'!X23</f>
        <v>-</v>
      </c>
      <c r="O22" s="59" t="str">
        <f>'Février 2026'!Y23</f>
        <v/>
      </c>
      <c r="P22" s="58" t="str">
        <f>'Février 2026'!Z23</f>
        <v>-</v>
      </c>
      <c r="Q22" s="57" t="str">
        <f>'Février 2026'!AA23</f>
        <v/>
      </c>
      <c r="R22" s="57">
        <f>'Février 2026'!AD23</f>
        <v>0</v>
      </c>
      <c r="S22" s="58" t="str">
        <f>'Février 2026'!AF23</f>
        <v>-</v>
      </c>
    </row>
    <row r="23" ht="15.0" customHeight="1">
      <c r="A23" s="52">
        <v>21.0</v>
      </c>
      <c r="B23" s="53" t="str">
        <f>'Février 2026'!B24</f>
        <v/>
      </c>
      <c r="C23" s="53" t="str">
        <f>'Février 2026'!D24</f>
        <v>-</v>
      </c>
      <c r="D23" s="53" t="str">
        <f>'Février 2026'!G24</f>
        <v>-</v>
      </c>
      <c r="E23" s="54" t="str">
        <f>'Février 2026'!F24</f>
        <v>-</v>
      </c>
      <c r="F23" s="55" t="str">
        <f>'Février 2026'!I24</f>
        <v/>
      </c>
      <c r="G23" s="55" t="str">
        <f>'Février 2026'!K24</f>
        <v/>
      </c>
      <c r="H23" s="53" t="str">
        <f>'Février 2026'!L24</f>
        <v>-</v>
      </c>
      <c r="I23" s="55" t="str">
        <f>'Février 2026'!O24</f>
        <v/>
      </c>
      <c r="J23" s="55" t="str">
        <f>'Février 2026'!R24</f>
        <v/>
      </c>
      <c r="K23" s="55">
        <f>'Février 2026'!T24</f>
        <v>0</v>
      </c>
      <c r="L23" s="53" t="str">
        <f>'Février 2026'!V24</f>
        <v>-</v>
      </c>
      <c r="M23" s="53" t="str">
        <f>'Février 2026'!W24</f>
        <v>-</v>
      </c>
      <c r="N23" s="53" t="str">
        <f>'Février 2026'!X24</f>
        <v>-</v>
      </c>
      <c r="O23" s="55" t="str">
        <f>'Février 2026'!Y24</f>
        <v/>
      </c>
      <c r="P23" s="54" t="str">
        <f>'Février 2026'!Z24</f>
        <v>-</v>
      </c>
      <c r="Q23" s="53" t="str">
        <f>'Février 2026'!AA24</f>
        <v/>
      </c>
      <c r="R23" s="53">
        <f>'Février 2026'!AD24</f>
        <v>0</v>
      </c>
      <c r="S23" s="54" t="str">
        <f>'Février 2026'!AF24</f>
        <v>-</v>
      </c>
    </row>
    <row r="24" ht="15.0" customHeight="1">
      <c r="A24" s="56">
        <v>22.0</v>
      </c>
      <c r="B24" s="57" t="str">
        <f>'Février 2026'!B25</f>
        <v/>
      </c>
      <c r="C24" s="57" t="str">
        <f>'Février 2026'!D25</f>
        <v>-</v>
      </c>
      <c r="D24" s="57" t="str">
        <f>'Février 2026'!G25</f>
        <v>-</v>
      </c>
      <c r="E24" s="58" t="str">
        <f>'Février 2026'!F25</f>
        <v>-</v>
      </c>
      <c r="F24" s="59" t="str">
        <f>'Février 2026'!I25</f>
        <v/>
      </c>
      <c r="G24" s="59" t="str">
        <f>'Février 2026'!K25</f>
        <v/>
      </c>
      <c r="H24" s="57" t="str">
        <f>'Février 2026'!L25</f>
        <v>-</v>
      </c>
      <c r="I24" s="59" t="str">
        <f>'Février 2026'!O25</f>
        <v/>
      </c>
      <c r="J24" s="59" t="str">
        <f>'Février 2026'!R25</f>
        <v/>
      </c>
      <c r="K24" s="59">
        <f>'Février 2026'!T25</f>
        <v>0</v>
      </c>
      <c r="L24" s="57" t="str">
        <f>'Février 2026'!V25</f>
        <v>-</v>
      </c>
      <c r="M24" s="57" t="str">
        <f>'Février 2026'!W25</f>
        <v>-</v>
      </c>
      <c r="N24" s="57" t="str">
        <f>'Février 2026'!X25</f>
        <v>-</v>
      </c>
      <c r="O24" s="59" t="str">
        <f>'Février 2026'!Y25</f>
        <v/>
      </c>
      <c r="P24" s="58" t="str">
        <f>'Février 2026'!Z25</f>
        <v>-</v>
      </c>
      <c r="Q24" s="57" t="str">
        <f>'Février 2026'!AA25</f>
        <v/>
      </c>
      <c r="R24" s="57">
        <f>'Février 2026'!AD25</f>
        <v>0</v>
      </c>
      <c r="S24" s="58" t="str">
        <f>'Février 2026'!AF25</f>
        <v>-</v>
      </c>
    </row>
    <row r="25" ht="15.0" customHeight="1">
      <c r="A25" s="52">
        <v>23.0</v>
      </c>
      <c r="B25" s="53" t="str">
        <f>'Février 2026'!B26</f>
        <v/>
      </c>
      <c r="C25" s="53" t="str">
        <f>'Février 2026'!D26</f>
        <v>-</v>
      </c>
      <c r="D25" s="53" t="str">
        <f>'Février 2026'!G26</f>
        <v>-</v>
      </c>
      <c r="E25" s="54" t="str">
        <f>'Février 2026'!F26</f>
        <v>-</v>
      </c>
      <c r="F25" s="55" t="str">
        <f>'Février 2026'!I26</f>
        <v/>
      </c>
      <c r="G25" s="55" t="str">
        <f>'Février 2026'!K26</f>
        <v/>
      </c>
      <c r="H25" s="53" t="str">
        <f>'Février 2026'!L26</f>
        <v>-</v>
      </c>
      <c r="I25" s="55" t="str">
        <f>'Février 2026'!O26</f>
        <v/>
      </c>
      <c r="J25" s="55" t="str">
        <f>'Février 2026'!R26</f>
        <v/>
      </c>
      <c r="K25" s="55">
        <f>'Février 2026'!T26</f>
        <v>0</v>
      </c>
      <c r="L25" s="53" t="str">
        <f>'Février 2026'!V26</f>
        <v>-</v>
      </c>
      <c r="M25" s="53" t="str">
        <f>'Février 2026'!W26</f>
        <v>-</v>
      </c>
      <c r="N25" s="53" t="str">
        <f>'Février 2026'!X26</f>
        <v>-</v>
      </c>
      <c r="O25" s="55" t="str">
        <f>'Février 2026'!Y26</f>
        <v/>
      </c>
      <c r="P25" s="54" t="str">
        <f>'Février 2026'!Z26</f>
        <v>-</v>
      </c>
      <c r="Q25" s="53" t="str">
        <f>'Février 2026'!AA26</f>
        <v/>
      </c>
      <c r="R25" s="53">
        <f>'Février 2026'!AD26</f>
        <v>0</v>
      </c>
      <c r="S25" s="54" t="str">
        <f>'Février 2026'!AF26</f>
        <v>-</v>
      </c>
    </row>
    <row r="26" ht="15.0" customHeight="1">
      <c r="A26" s="56">
        <v>24.0</v>
      </c>
      <c r="B26" s="57" t="str">
        <f>'Février 2026'!B27</f>
        <v/>
      </c>
      <c r="C26" s="57" t="str">
        <f>'Février 2026'!D27</f>
        <v>-</v>
      </c>
      <c r="D26" s="57" t="str">
        <f>'Février 2026'!G27</f>
        <v>-</v>
      </c>
      <c r="E26" s="58" t="str">
        <f>'Février 2026'!F27</f>
        <v>-</v>
      </c>
      <c r="F26" s="59" t="str">
        <f>'Février 2026'!I27</f>
        <v/>
      </c>
      <c r="G26" s="59" t="str">
        <f>'Février 2026'!K27</f>
        <v/>
      </c>
      <c r="H26" s="57" t="str">
        <f>'Février 2026'!L27</f>
        <v>-</v>
      </c>
      <c r="I26" s="59" t="str">
        <f>'Février 2026'!O27</f>
        <v/>
      </c>
      <c r="J26" s="59" t="str">
        <f>'Février 2026'!R27</f>
        <v/>
      </c>
      <c r="K26" s="59">
        <f>'Février 2026'!T27</f>
        <v>0</v>
      </c>
      <c r="L26" s="57" t="str">
        <f>'Février 2026'!V27</f>
        <v>-</v>
      </c>
      <c r="M26" s="57" t="str">
        <f>'Février 2026'!W27</f>
        <v>-</v>
      </c>
      <c r="N26" s="57" t="str">
        <f>'Février 2026'!X27</f>
        <v>-</v>
      </c>
      <c r="O26" s="59" t="str">
        <f>'Février 2026'!Y27</f>
        <v/>
      </c>
      <c r="P26" s="58" t="str">
        <f>'Février 2026'!Z27</f>
        <v>-</v>
      </c>
      <c r="Q26" s="57" t="str">
        <f>'Février 2026'!AA27</f>
        <v/>
      </c>
      <c r="R26" s="57">
        <f>'Février 2026'!AD27</f>
        <v>0</v>
      </c>
      <c r="S26" s="58" t="str">
        <f>'Février 2026'!AF27</f>
        <v>-</v>
      </c>
    </row>
    <row r="27" ht="15.0" customHeight="1">
      <c r="A27" s="52">
        <v>25.0</v>
      </c>
      <c r="B27" s="53" t="str">
        <f>'Février 2026'!B28</f>
        <v/>
      </c>
      <c r="C27" s="53" t="str">
        <f>'Février 2026'!D28</f>
        <v>-</v>
      </c>
      <c r="D27" s="53" t="str">
        <f>'Février 2026'!G28</f>
        <v>-</v>
      </c>
      <c r="E27" s="54" t="str">
        <f>'Février 2026'!F28</f>
        <v>-</v>
      </c>
      <c r="F27" s="55" t="str">
        <f>'Février 2026'!I28</f>
        <v/>
      </c>
      <c r="G27" s="55" t="str">
        <f>'Février 2026'!K28</f>
        <v/>
      </c>
      <c r="H27" s="53" t="str">
        <f>'Février 2026'!L28</f>
        <v>-</v>
      </c>
      <c r="I27" s="55" t="str">
        <f>'Février 2026'!O28</f>
        <v/>
      </c>
      <c r="J27" s="55" t="str">
        <f>'Février 2026'!R28</f>
        <v/>
      </c>
      <c r="K27" s="55">
        <f>'Février 2026'!T28</f>
        <v>0</v>
      </c>
      <c r="L27" s="53" t="str">
        <f>'Février 2026'!V28</f>
        <v>-</v>
      </c>
      <c r="M27" s="53" t="str">
        <f>'Février 2026'!W28</f>
        <v>-</v>
      </c>
      <c r="N27" s="53" t="str">
        <f>'Février 2026'!X28</f>
        <v>-</v>
      </c>
      <c r="O27" s="55" t="str">
        <f>'Février 2026'!Y28</f>
        <v/>
      </c>
      <c r="P27" s="54" t="str">
        <f>'Février 2026'!Z28</f>
        <v>-</v>
      </c>
      <c r="Q27" s="53" t="str">
        <f>'Février 2026'!AA28</f>
        <v/>
      </c>
      <c r="R27" s="53">
        <f>'Février 2026'!AD28</f>
        <v>0</v>
      </c>
      <c r="S27" s="54" t="str">
        <f>'Février 2026'!AF28</f>
        <v>-</v>
      </c>
    </row>
    <row r="28" ht="15.0" customHeight="1">
      <c r="A28" s="56">
        <v>26.0</v>
      </c>
      <c r="B28" s="57" t="str">
        <f>'Février 2026'!B29</f>
        <v/>
      </c>
      <c r="C28" s="57" t="str">
        <f>'Février 2026'!D29</f>
        <v>-</v>
      </c>
      <c r="D28" s="57" t="str">
        <f>'Février 2026'!G29</f>
        <v>-</v>
      </c>
      <c r="E28" s="58" t="str">
        <f>'Février 2026'!F29</f>
        <v>-</v>
      </c>
      <c r="F28" s="59" t="str">
        <f>'Février 2026'!I29</f>
        <v/>
      </c>
      <c r="G28" s="59" t="str">
        <f>'Février 2026'!K29</f>
        <v/>
      </c>
      <c r="H28" s="57" t="str">
        <f>'Février 2026'!L29</f>
        <v>-</v>
      </c>
      <c r="I28" s="59" t="str">
        <f>'Février 2026'!O29</f>
        <v/>
      </c>
      <c r="J28" s="59" t="str">
        <f>'Février 2026'!R29</f>
        <v/>
      </c>
      <c r="K28" s="59">
        <f>'Février 2026'!T29</f>
        <v>0</v>
      </c>
      <c r="L28" s="57" t="str">
        <f>'Février 2026'!V29</f>
        <v>-</v>
      </c>
      <c r="M28" s="57" t="str">
        <f>'Février 2026'!W29</f>
        <v>-</v>
      </c>
      <c r="N28" s="57" t="str">
        <f>'Février 2026'!X29</f>
        <v>-</v>
      </c>
      <c r="O28" s="59" t="str">
        <f>'Février 2026'!Y29</f>
        <v/>
      </c>
      <c r="P28" s="58" t="str">
        <f>'Février 2026'!Z29</f>
        <v>-</v>
      </c>
      <c r="Q28" s="57" t="str">
        <f>'Février 2026'!AA29</f>
        <v/>
      </c>
      <c r="R28" s="57">
        <f>'Février 2026'!AD29</f>
        <v>0</v>
      </c>
      <c r="S28" s="58" t="str">
        <f>'Février 2026'!AF29</f>
        <v>-</v>
      </c>
    </row>
    <row r="29" ht="15.0" customHeight="1">
      <c r="A29" s="52">
        <v>27.0</v>
      </c>
      <c r="B29" s="53" t="str">
        <f>'Février 2026'!B30</f>
        <v/>
      </c>
      <c r="C29" s="53" t="str">
        <f>'Février 2026'!D30</f>
        <v>-</v>
      </c>
      <c r="D29" s="53" t="str">
        <f>'Février 2026'!G30</f>
        <v>-</v>
      </c>
      <c r="E29" s="54" t="str">
        <f>'Février 2026'!F30</f>
        <v>-</v>
      </c>
      <c r="F29" s="55" t="str">
        <f>'Février 2026'!I30</f>
        <v/>
      </c>
      <c r="G29" s="55" t="str">
        <f>'Février 2026'!K30</f>
        <v/>
      </c>
      <c r="H29" s="53" t="str">
        <f>'Février 2026'!L30</f>
        <v>-</v>
      </c>
      <c r="I29" s="55" t="str">
        <f>'Février 2026'!O30</f>
        <v/>
      </c>
      <c r="J29" s="55" t="str">
        <f>'Février 2026'!R30</f>
        <v/>
      </c>
      <c r="K29" s="55">
        <f>'Février 2026'!T30</f>
        <v>0</v>
      </c>
      <c r="L29" s="53" t="str">
        <f>'Février 2026'!V30</f>
        <v>-</v>
      </c>
      <c r="M29" s="53" t="str">
        <f>'Février 2026'!W30</f>
        <v>-</v>
      </c>
      <c r="N29" s="53" t="str">
        <f>'Février 2026'!X30</f>
        <v>-</v>
      </c>
      <c r="O29" s="55" t="str">
        <f>'Février 2026'!Y30</f>
        <v/>
      </c>
      <c r="P29" s="54" t="str">
        <f>'Février 2026'!Z30</f>
        <v>-</v>
      </c>
      <c r="Q29" s="53" t="str">
        <f>'Février 2026'!AA30</f>
        <v/>
      </c>
      <c r="R29" s="53">
        <f>'Février 2026'!AD30</f>
        <v>0</v>
      </c>
      <c r="S29" s="54" t="str">
        <f>'Février 2026'!AF30</f>
        <v>-</v>
      </c>
    </row>
    <row r="30" ht="15.0" customHeight="1">
      <c r="A30" s="56">
        <v>28.0</v>
      </c>
      <c r="B30" s="57" t="str">
        <f>'Février 2026'!B31</f>
        <v/>
      </c>
      <c r="C30" s="57" t="str">
        <f>'Février 2026'!D31</f>
        <v>-</v>
      </c>
      <c r="D30" s="57" t="str">
        <f>'Février 2026'!G31</f>
        <v>-</v>
      </c>
      <c r="E30" s="58" t="str">
        <f>'Février 2026'!F31</f>
        <v>-</v>
      </c>
      <c r="F30" s="59" t="str">
        <f>'Février 2026'!I31</f>
        <v/>
      </c>
      <c r="G30" s="59" t="str">
        <f>'Février 2026'!K31</f>
        <v/>
      </c>
      <c r="H30" s="57" t="str">
        <f>'Février 2026'!L31</f>
        <v>-</v>
      </c>
      <c r="I30" s="59" t="str">
        <f>'Février 2026'!O31</f>
        <v/>
      </c>
      <c r="J30" s="59" t="str">
        <f>'Février 2026'!R31</f>
        <v/>
      </c>
      <c r="K30" s="59">
        <f>'Février 2026'!T31</f>
        <v>0</v>
      </c>
      <c r="L30" s="57" t="str">
        <f>'Février 2026'!V31</f>
        <v>-</v>
      </c>
      <c r="M30" s="57" t="str">
        <f>'Février 2026'!W31</f>
        <v>-</v>
      </c>
      <c r="N30" s="57" t="str">
        <f>'Février 2026'!X31</f>
        <v>-</v>
      </c>
      <c r="O30" s="59" t="str">
        <f>'Février 2026'!Y31</f>
        <v/>
      </c>
      <c r="P30" s="58" t="str">
        <f>'Février 2026'!Z31</f>
        <v>-</v>
      </c>
      <c r="Q30" s="57" t="str">
        <f>'Février 2026'!AA31</f>
        <v/>
      </c>
      <c r="R30" s="57">
        <f>'Février 2026'!AD31</f>
        <v>0</v>
      </c>
      <c r="S30" s="58" t="str">
        <f>'Février 2026'!AF31</f>
        <v>-</v>
      </c>
    </row>
    <row r="31" ht="15.0" customHeight="1">
      <c r="A31" s="52">
        <v>29.0</v>
      </c>
      <c r="B31" s="53"/>
      <c r="C31" s="53"/>
      <c r="D31" s="53"/>
      <c r="E31" s="54"/>
      <c r="F31" s="55"/>
      <c r="G31" s="55"/>
      <c r="H31" s="53"/>
      <c r="I31" s="55"/>
      <c r="J31" s="55"/>
      <c r="K31" s="55"/>
      <c r="L31" s="53"/>
      <c r="M31" s="53"/>
      <c r="N31" s="53"/>
      <c r="O31" s="55"/>
      <c r="P31" s="54"/>
      <c r="Q31" s="53"/>
      <c r="R31" s="53"/>
      <c r="S31" s="54"/>
    </row>
    <row r="32" ht="15.0" customHeight="1">
      <c r="A32" s="56">
        <v>30.0</v>
      </c>
      <c r="B32" s="57"/>
      <c r="C32" s="57"/>
      <c r="D32" s="57"/>
      <c r="E32" s="58"/>
      <c r="F32" s="59"/>
      <c r="G32" s="59"/>
      <c r="H32" s="57"/>
      <c r="I32" s="59"/>
      <c r="J32" s="59"/>
      <c r="K32" s="59"/>
      <c r="L32" s="57"/>
      <c r="M32" s="57"/>
      <c r="N32" s="57"/>
      <c r="O32" s="59"/>
      <c r="P32" s="58"/>
      <c r="Q32" s="57"/>
      <c r="R32" s="57"/>
      <c r="S32" s="58"/>
    </row>
    <row r="33" ht="15.0" customHeight="1">
      <c r="A33" s="52">
        <v>31.0</v>
      </c>
      <c r="B33" s="53"/>
      <c r="C33" s="53"/>
      <c r="D33" s="53"/>
      <c r="E33" s="54"/>
      <c r="F33" s="55"/>
      <c r="G33" s="55"/>
      <c r="H33" s="53"/>
      <c r="I33" s="55"/>
      <c r="J33" s="55"/>
      <c r="K33" s="55"/>
      <c r="L33" s="53"/>
      <c r="M33" s="53"/>
      <c r="N33" s="53"/>
      <c r="O33" s="55"/>
      <c r="P33" s="54"/>
      <c r="Q33" s="53"/>
      <c r="R33" s="53"/>
      <c r="S33" s="5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</row>
  </sheetData>
  <mergeCells count="1">
    <mergeCell ref="A1:S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E58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13.0"/>
    <col customWidth="1" min="4" max="10" width="10.0"/>
    <col customWidth="1" min="11" max="12" width="13.0"/>
    <col customWidth="1" min="13" max="13" width="16.0"/>
    <col customWidth="1" min="14" max="14" width="14.0"/>
    <col customWidth="1" min="15" max="15" width="13.0"/>
    <col customWidth="1" min="16" max="16" width="17.0"/>
    <col customWidth="1" min="17" max="17" width="16.0"/>
    <col customWidth="1" min="18" max="19" width="18.0"/>
    <col customWidth="1" min="20" max="20" width="10.0"/>
    <col customWidth="1" min="21" max="22" width="13.0"/>
    <col customWidth="1" min="23" max="23" width="16.0"/>
    <col customWidth="1" min="24" max="25" width="10.0"/>
    <col customWidth="1" min="26" max="26" width="13.0"/>
    <col customWidth="1" min="27" max="27" width="12.0"/>
  </cols>
  <sheetData>
    <row r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8" t="s">
        <v>155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18</v>
      </c>
      <c r="I2" s="8" t="s">
        <v>77</v>
      </c>
      <c r="J2" s="8" t="s">
        <v>21</v>
      </c>
      <c r="K2" s="8" t="s">
        <v>78</v>
      </c>
      <c r="L2" s="8" t="s">
        <v>130</v>
      </c>
      <c r="M2" s="8" t="s">
        <v>26</v>
      </c>
      <c r="N2" s="8" t="s">
        <v>27</v>
      </c>
      <c r="O2" s="8" t="s">
        <v>29</v>
      </c>
      <c r="P2" s="8" t="s">
        <v>30</v>
      </c>
      <c r="Q2" s="8" t="s">
        <v>31</v>
      </c>
      <c r="R2" s="8" t="s">
        <v>32</v>
      </c>
      <c r="S2" s="8" t="s">
        <v>33</v>
      </c>
      <c r="T2" s="8" t="s">
        <v>80</v>
      </c>
      <c r="U2" s="8" t="s">
        <v>35</v>
      </c>
      <c r="V2" s="8" t="s">
        <v>36</v>
      </c>
      <c r="W2" s="8" t="s">
        <v>37</v>
      </c>
      <c r="X2" s="8" t="s">
        <v>38</v>
      </c>
      <c r="Y2" s="8" t="s">
        <v>39</v>
      </c>
      <c r="Z2" s="8" t="s">
        <v>40</v>
      </c>
      <c r="AA2" s="8" t="s">
        <v>41</v>
      </c>
    </row>
    <row r="3">
      <c r="A3" s="36" t="s">
        <v>156</v>
      </c>
      <c r="B3" s="21" t="str">
        <f t="shared" ref="B3:G3" si="1">'Janvier 2026'!B10</f>
        <v>#REF!</v>
      </c>
      <c r="C3" s="23" t="str">
        <f t="shared" si="1"/>
        <v>#REF!</v>
      </c>
      <c r="D3" s="21" t="str">
        <f t="shared" si="1"/>
        <v>#REF!</v>
      </c>
      <c r="E3" s="23" t="str">
        <f t="shared" si="1"/>
        <v>#REF!</v>
      </c>
      <c r="F3" s="22" t="str">
        <f t="shared" si="1"/>
        <v>#REF!</v>
      </c>
      <c r="G3" s="21" t="str">
        <f t="shared" si="1"/>
        <v>#REF!</v>
      </c>
      <c r="H3" s="23" t="str">
        <f>'Janvier 2026'!I10</f>
        <v>#REF!</v>
      </c>
      <c r="I3" s="23" t="str">
        <f t="shared" ref="I3:J3" si="2">'Janvier 2026'!K10</f>
        <v>#REF!</v>
      </c>
      <c r="J3" s="21" t="str">
        <f t="shared" si="2"/>
        <v>#REF!</v>
      </c>
      <c r="K3" s="23" t="str">
        <f t="shared" ref="K3:N3" si="3">'Janvier 2026'!O10</f>
        <v>#REF!</v>
      </c>
      <c r="L3" s="22" t="str">
        <f t="shared" si="3"/>
        <v>#REF!</v>
      </c>
      <c r="M3" s="23" t="str">
        <f t="shared" si="3"/>
        <v>#REF!</v>
      </c>
      <c r="N3" s="23" t="str">
        <f t="shared" si="3"/>
        <v>#REF!</v>
      </c>
      <c r="O3" s="23" t="str">
        <f t="shared" ref="O3:AA3" si="4">'Janvier 2026'!T10</f>
        <v>#REF!</v>
      </c>
      <c r="P3" s="22" t="str">
        <f t="shared" si="4"/>
        <v>#REF!</v>
      </c>
      <c r="Q3" s="21" t="str">
        <f t="shared" si="4"/>
        <v>#REF!</v>
      </c>
      <c r="R3" s="21" t="str">
        <f t="shared" si="4"/>
        <v>#REF!</v>
      </c>
      <c r="S3" s="21" t="str">
        <f t="shared" si="4"/>
        <v>#REF!</v>
      </c>
      <c r="T3" s="23" t="str">
        <f t="shared" si="4"/>
        <v>#REF!</v>
      </c>
      <c r="U3" s="22" t="str">
        <f t="shared" si="4"/>
        <v>#REF!</v>
      </c>
      <c r="V3" s="21" t="str">
        <f t="shared" si="4"/>
        <v>#REF!</v>
      </c>
      <c r="W3" s="21" t="str">
        <f t="shared" si="4"/>
        <v>#REF!</v>
      </c>
      <c r="X3" s="21" t="str">
        <f t="shared" si="4"/>
        <v>#REF!</v>
      </c>
      <c r="Y3" s="21" t="str">
        <f t="shared" si="4"/>
        <v>#REF!</v>
      </c>
      <c r="Z3" s="22" t="str">
        <f t="shared" si="4"/>
        <v>#REF!</v>
      </c>
      <c r="AA3" s="22" t="str">
        <f t="shared" si="4"/>
        <v>#REF!</v>
      </c>
    </row>
    <row r="4">
      <c r="A4" s="40" t="s">
        <v>157</v>
      </c>
      <c r="B4" s="12">
        <f>'Février 2026'!B32</f>
        <v>0</v>
      </c>
      <c r="C4" s="14">
        <f>'Février 2026'!C32</f>
        <v>0</v>
      </c>
      <c r="D4" s="12" t="str">
        <f>'Février 2026'!D32</f>
        <v>-</v>
      </c>
      <c r="E4" s="14">
        <f>'Février 2026'!E32</f>
        <v>0</v>
      </c>
      <c r="F4" s="13" t="str">
        <f>'Février 2026'!F32</f>
        <v>-</v>
      </c>
      <c r="G4" s="12" t="str">
        <f>'Février 2026'!G32</f>
        <v>-</v>
      </c>
      <c r="H4" s="14">
        <f>'Février 2026'!I32</f>
        <v>0</v>
      </c>
      <c r="I4" s="14">
        <f>'Février 2026'!K32</f>
        <v>0</v>
      </c>
      <c r="J4" s="12" t="str">
        <f>'Février 2026'!L32</f>
        <v>-</v>
      </c>
      <c r="K4" s="14">
        <f>'Février 2026'!O32</f>
        <v>0</v>
      </c>
      <c r="L4" s="13" t="str">
        <f>'Février 2026'!P32</f>
        <v>-</v>
      </c>
      <c r="M4" s="14">
        <f>'Février 2026'!Q32</f>
        <v>0</v>
      </c>
      <c r="N4" s="14">
        <f>'Février 2026'!R32</f>
        <v>0</v>
      </c>
      <c r="O4" s="14">
        <f>'Février 2026'!T32</f>
        <v>0</v>
      </c>
      <c r="P4" s="13" t="str">
        <f>'Février 2026'!U32</f>
        <v>-</v>
      </c>
      <c r="Q4" s="12" t="str">
        <f>'Février 2026'!V32</f>
        <v>-</v>
      </c>
      <c r="R4" s="12" t="str">
        <f>'Février 2026'!W32</f>
        <v>-</v>
      </c>
      <c r="S4" s="12" t="str">
        <f>'Février 2026'!X32</f>
        <v>-</v>
      </c>
      <c r="T4" s="14">
        <f>'Février 2026'!Y32</f>
        <v>0</v>
      </c>
      <c r="U4" s="13" t="str">
        <f>'Février 2026'!Z32</f>
        <v>-</v>
      </c>
      <c r="V4" s="12">
        <f>'Février 2026'!AA32</f>
        <v>0</v>
      </c>
      <c r="W4" s="12">
        <f>'Février 2026'!AB32</f>
        <v>0</v>
      </c>
      <c r="X4" s="12" t="str">
        <f>'Février 2026'!AC32</f>
        <v>-</v>
      </c>
      <c r="Y4" s="12">
        <f>'Février 2026'!AD32</f>
        <v>0</v>
      </c>
      <c r="Z4" s="13" t="str">
        <f>'Février 2026'!AE32</f>
        <v>-</v>
      </c>
      <c r="AA4" s="13" t="str">
        <f>'Février 2026'!AF32</f>
        <v>-</v>
      </c>
    </row>
    <row r="5">
      <c r="A5" s="26"/>
      <c r="B5" s="19"/>
      <c r="C5" s="20"/>
      <c r="D5" s="19"/>
      <c r="E5" s="20"/>
      <c r="F5" s="60"/>
      <c r="G5" s="19"/>
      <c r="H5" s="20"/>
      <c r="I5" s="20"/>
      <c r="J5" s="19"/>
      <c r="K5" s="20"/>
      <c r="L5" s="60"/>
      <c r="M5" s="20"/>
      <c r="N5" s="20"/>
      <c r="O5" s="20"/>
      <c r="P5" s="60"/>
      <c r="Q5" s="19"/>
      <c r="R5" s="19"/>
      <c r="S5" s="19"/>
      <c r="T5" s="20"/>
      <c r="U5" s="60"/>
      <c r="V5" s="19"/>
      <c r="W5" s="19"/>
      <c r="X5" s="19"/>
      <c r="Y5" s="19"/>
      <c r="Z5" s="60"/>
      <c r="AA5" s="60"/>
    </row>
    <row r="6">
      <c r="A6" s="17"/>
      <c r="B6" s="10"/>
      <c r="C6" s="11"/>
      <c r="D6" s="10"/>
      <c r="E6" s="11"/>
      <c r="F6" s="61"/>
      <c r="G6" s="10"/>
      <c r="H6" s="11"/>
      <c r="I6" s="11"/>
      <c r="J6" s="10"/>
      <c r="K6" s="11"/>
      <c r="L6" s="61"/>
      <c r="M6" s="11"/>
      <c r="N6" s="11"/>
      <c r="O6" s="11"/>
      <c r="P6" s="61"/>
      <c r="Q6" s="10"/>
      <c r="R6" s="10"/>
      <c r="S6" s="10"/>
      <c r="T6" s="11"/>
      <c r="U6" s="61"/>
      <c r="V6" s="10"/>
      <c r="W6" s="10"/>
      <c r="X6" s="10"/>
      <c r="Y6" s="10"/>
      <c r="Z6" s="61"/>
      <c r="AA6" s="61"/>
    </row>
    <row r="7">
      <c r="A7" s="26"/>
      <c r="B7" s="19"/>
      <c r="C7" s="20"/>
      <c r="D7" s="19"/>
      <c r="E7" s="20"/>
      <c r="F7" s="60"/>
      <c r="G7" s="19"/>
      <c r="H7" s="20"/>
      <c r="I7" s="20"/>
      <c r="J7" s="19"/>
      <c r="K7" s="20"/>
      <c r="L7" s="60"/>
      <c r="M7" s="20"/>
      <c r="N7" s="20"/>
      <c r="O7" s="20"/>
      <c r="P7" s="60"/>
      <c r="Q7" s="19"/>
      <c r="R7" s="19"/>
      <c r="S7" s="19"/>
      <c r="T7" s="20"/>
      <c r="U7" s="60"/>
      <c r="V7" s="19"/>
      <c r="W7" s="19"/>
      <c r="X7" s="19"/>
      <c r="Y7" s="19"/>
      <c r="Z7" s="60"/>
      <c r="AA7" s="60"/>
    </row>
    <row r="8">
      <c r="A8" s="17"/>
      <c r="B8" s="10"/>
      <c r="C8" s="11"/>
      <c r="D8" s="10"/>
      <c r="E8" s="11"/>
      <c r="F8" s="61"/>
      <c r="G8" s="10"/>
      <c r="H8" s="11"/>
      <c r="I8" s="11"/>
      <c r="J8" s="10"/>
      <c r="K8" s="11"/>
      <c r="L8" s="61"/>
      <c r="M8" s="11"/>
      <c r="N8" s="11"/>
      <c r="O8" s="11"/>
      <c r="P8" s="61"/>
      <c r="Q8" s="10"/>
      <c r="R8" s="10"/>
      <c r="S8" s="10"/>
      <c r="T8" s="11"/>
      <c r="U8" s="61"/>
      <c r="V8" s="10"/>
      <c r="W8" s="10"/>
      <c r="X8" s="10"/>
      <c r="Y8" s="10"/>
      <c r="Z8" s="61"/>
      <c r="AA8" s="61"/>
    </row>
    <row r="9">
      <c r="A9" s="26"/>
      <c r="B9" s="19"/>
      <c r="C9" s="20"/>
      <c r="D9" s="19"/>
      <c r="E9" s="20"/>
      <c r="F9" s="60"/>
      <c r="G9" s="19"/>
      <c r="H9" s="20"/>
      <c r="I9" s="20"/>
      <c r="J9" s="19"/>
      <c r="K9" s="20"/>
      <c r="L9" s="60"/>
      <c r="M9" s="20"/>
      <c r="N9" s="20"/>
      <c r="O9" s="20"/>
      <c r="P9" s="60"/>
      <c r="Q9" s="19"/>
      <c r="R9" s="19"/>
      <c r="S9" s="19"/>
      <c r="T9" s="20"/>
      <c r="U9" s="60"/>
      <c r="V9" s="19"/>
      <c r="W9" s="19"/>
      <c r="X9" s="19"/>
      <c r="Y9" s="19"/>
      <c r="Z9" s="60"/>
      <c r="AA9" s="60"/>
    </row>
    <row r="10">
      <c r="A10" s="17"/>
      <c r="B10" s="10"/>
      <c r="C10" s="11"/>
      <c r="D10" s="10"/>
      <c r="E10" s="11"/>
      <c r="F10" s="61"/>
      <c r="G10" s="10"/>
      <c r="H10" s="11"/>
      <c r="I10" s="11"/>
      <c r="J10" s="10"/>
      <c r="K10" s="11"/>
      <c r="L10" s="61"/>
      <c r="M10" s="11"/>
      <c r="N10" s="11"/>
      <c r="O10" s="11"/>
      <c r="P10" s="61"/>
      <c r="Q10" s="10"/>
      <c r="R10" s="10"/>
      <c r="S10" s="10"/>
      <c r="T10" s="11"/>
      <c r="U10" s="61"/>
      <c r="V10" s="10"/>
      <c r="W10" s="10"/>
      <c r="X10" s="10"/>
      <c r="Y10" s="10"/>
      <c r="Z10" s="61"/>
      <c r="AA10" s="61"/>
    </row>
    <row r="11">
      <c r="A11" s="26"/>
      <c r="B11" s="19"/>
      <c r="C11" s="20"/>
      <c r="D11" s="19"/>
      <c r="E11" s="20"/>
      <c r="F11" s="60"/>
      <c r="G11" s="19"/>
      <c r="H11" s="20"/>
      <c r="I11" s="20"/>
      <c r="J11" s="19"/>
      <c r="K11" s="20"/>
      <c r="L11" s="60"/>
      <c r="M11" s="20"/>
      <c r="N11" s="20"/>
      <c r="O11" s="20"/>
      <c r="P11" s="60"/>
      <c r="Q11" s="19"/>
      <c r="R11" s="19"/>
      <c r="S11" s="19"/>
      <c r="T11" s="20"/>
      <c r="U11" s="60"/>
      <c r="V11" s="19"/>
      <c r="W11" s="19"/>
      <c r="X11" s="19"/>
      <c r="Y11" s="19"/>
      <c r="Z11" s="60"/>
      <c r="AA11" s="60"/>
    </row>
    <row r="12">
      <c r="A12" s="17"/>
      <c r="B12" s="10"/>
      <c r="C12" s="11"/>
      <c r="D12" s="10"/>
      <c r="E12" s="11"/>
      <c r="F12" s="61"/>
      <c r="G12" s="10"/>
      <c r="H12" s="11"/>
      <c r="I12" s="11"/>
      <c r="J12" s="10"/>
      <c r="K12" s="11"/>
      <c r="L12" s="61"/>
      <c r="M12" s="11"/>
      <c r="N12" s="11"/>
      <c r="O12" s="11"/>
      <c r="P12" s="61"/>
      <c r="Q12" s="10"/>
      <c r="R12" s="10"/>
      <c r="S12" s="10"/>
      <c r="T12" s="11"/>
      <c r="U12" s="61"/>
      <c r="V12" s="10"/>
      <c r="W12" s="10"/>
      <c r="X12" s="10"/>
      <c r="Y12" s="10"/>
      <c r="Z12" s="61"/>
      <c r="AA12" s="61"/>
    </row>
    <row r="13">
      <c r="A13" s="26"/>
      <c r="B13" s="19"/>
      <c r="C13" s="20"/>
      <c r="D13" s="19"/>
      <c r="E13" s="20"/>
      <c r="F13" s="60"/>
      <c r="G13" s="19"/>
      <c r="H13" s="20"/>
      <c r="I13" s="20"/>
      <c r="J13" s="19"/>
      <c r="K13" s="20"/>
      <c r="L13" s="60"/>
      <c r="M13" s="20"/>
      <c r="N13" s="20"/>
      <c r="O13" s="20"/>
      <c r="P13" s="60"/>
      <c r="Q13" s="19"/>
      <c r="R13" s="19"/>
      <c r="S13" s="19"/>
      <c r="T13" s="20"/>
      <c r="U13" s="60"/>
      <c r="V13" s="19"/>
      <c r="W13" s="19"/>
      <c r="X13" s="19"/>
      <c r="Y13" s="19"/>
      <c r="Z13" s="60"/>
      <c r="AA13" s="60"/>
    </row>
    <row r="14">
      <c r="A14" s="17"/>
      <c r="B14" s="10"/>
      <c r="C14" s="11"/>
      <c r="D14" s="10"/>
      <c r="E14" s="11"/>
      <c r="F14" s="61"/>
      <c r="G14" s="10"/>
      <c r="H14" s="11"/>
      <c r="I14" s="11"/>
      <c r="J14" s="10"/>
      <c r="K14" s="11"/>
      <c r="L14" s="61"/>
      <c r="M14" s="11"/>
      <c r="N14" s="11"/>
      <c r="O14" s="11"/>
      <c r="P14" s="61"/>
      <c r="Q14" s="10"/>
      <c r="R14" s="10"/>
      <c r="S14" s="10"/>
      <c r="T14" s="11"/>
      <c r="U14" s="61"/>
      <c r="V14" s="10"/>
      <c r="W14" s="10"/>
      <c r="X14" s="10"/>
      <c r="Y14" s="10"/>
      <c r="Z14" s="61"/>
      <c r="AA14" s="61"/>
    </row>
    <row r="15">
      <c r="A15" s="27" t="s">
        <v>158</v>
      </c>
      <c r="B15" s="28" t="str">
        <f t="shared" ref="B15:C15" si="5">SUM(B3:B14)</f>
        <v>#REF!</v>
      </c>
      <c r="C15" s="29" t="str">
        <f t="shared" si="5"/>
        <v>#REF!</v>
      </c>
      <c r="D15" s="28" t="str">
        <f>IF(C15=0,"-",B15/C15*1000)</f>
        <v>#REF!</v>
      </c>
      <c r="E15" s="29" t="str">
        <f>SUM(E3:E14)</f>
        <v>#REF!</v>
      </c>
      <c r="F15" s="30" t="str">
        <f>IF(C15=0,"-",E15/C15)</f>
        <v>#REF!</v>
      </c>
      <c r="G15" s="28" t="str">
        <f>IF(E15=0,"-",B15/E15)</f>
        <v>#REF!</v>
      </c>
      <c r="H15" s="29" t="str">
        <f t="shared" ref="H15:I15" si="6">SUM(H3:H14)</f>
        <v>#REF!</v>
      </c>
      <c r="I15" s="29" t="str">
        <f t="shared" si="6"/>
        <v>#REF!</v>
      </c>
      <c r="J15" s="28" t="str">
        <f>IF(I15=0,"-",B15/I15)</f>
        <v>#REF!</v>
      </c>
      <c r="K15" s="29" t="str">
        <f>SUM(K3:K14)</f>
        <v>#REF!</v>
      </c>
      <c r="L15" s="30" t="str">
        <f>IF(I15=0,"-",K15/I15)</f>
        <v>#REF!</v>
      </c>
      <c r="M15" s="29" t="str">
        <f t="shared" ref="M15:O15" si="7">SUM(M3:M14)</f>
        <v>#REF!</v>
      </c>
      <c r="N15" s="29" t="str">
        <f t="shared" si="7"/>
        <v>#REF!</v>
      </c>
      <c r="O15" s="29" t="str">
        <f t="shared" si="7"/>
        <v>#REF!</v>
      </c>
      <c r="P15" s="30" t="str">
        <f>IF(I15=0,"-",O15/I15)</f>
        <v>#REF!</v>
      </c>
      <c r="Q15" s="28" t="str">
        <f>IF(K15=0,"-",B15/K15)</f>
        <v>#REF!</v>
      </c>
      <c r="R15" s="28" t="str">
        <f>IF(N15=0,"-",B15/N15)</f>
        <v>#REF!</v>
      </c>
      <c r="S15" s="28" t="str">
        <f>IF(O15=0,"-",B15/O15)</f>
        <v>#REF!</v>
      </c>
      <c r="T15" s="29" t="str">
        <f>SUM(T3:T14)</f>
        <v>#REF!</v>
      </c>
      <c r="U15" s="30" t="str">
        <f>IF(O15=0,"-",T15/O15)</f>
        <v>#REF!</v>
      </c>
      <c r="V15" s="28" t="str">
        <f t="shared" ref="V15:W15" si="8">SUM(V3:V14)</f>
        <v>#REF!</v>
      </c>
      <c r="W15" s="28" t="str">
        <f t="shared" si="8"/>
        <v>#REF!</v>
      </c>
      <c r="X15" s="28" t="str">
        <f>IF(T15=0,"-",B15/T15)</f>
        <v>#REF!</v>
      </c>
      <c r="Y15" s="28" t="str">
        <f>W15-B15</f>
        <v>#REF!</v>
      </c>
      <c r="Z15" s="30" t="str">
        <f>IF(B15=0,"-",(V15-B15)/B15)</f>
        <v>#REF!</v>
      </c>
      <c r="AA15" s="30" t="str">
        <f>IF(B15=0,"-",(W15-B15)/B15)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A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2026-02-10T10:06:19Z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